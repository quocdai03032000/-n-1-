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T:\DoAn1\CNPM_NC\"/>
    </mc:Choice>
  </mc:AlternateContent>
  <xr:revisionPtr revIDLastSave="0" documentId="13_ncr:1_{0BBBF997-4764-4749-AC97-37CC643191A4}" xr6:coauthVersionLast="46" xr6:coauthVersionMax="46" xr10:uidLastSave="{00000000-0000-0000-0000-000000000000}"/>
  <bookViews>
    <workbookView xWindow="-120" yWindow="-120" windowWidth="29040" windowHeight="15840" activeTab="3" xr2:uid="{00000000-000D-0000-FFFF-FFFF00000000}"/>
  </bookViews>
  <sheets>
    <sheet name="WBS" sheetId="1" r:id="rId1"/>
    <sheet name="Risk Mgmt" sheetId="2" r:id="rId2"/>
    <sheet name="Ref" sheetId="3" r:id="rId3"/>
    <sheet name="Skill Matrix" sheetId="4" r:id="rId4"/>
    <sheet name="Sprint " sheetId="5" r:id="rId5"/>
  </sheets>
  <definedNames>
    <definedName name="Member">Ref!$G$2:$G$9</definedName>
    <definedName name="Mức_độ_rủi_ro">Ref!$B$2:$B$6</definedName>
    <definedName name="Risk_group">Ref!$A$2:$A$5</definedName>
    <definedName name="Risk_type">Ref!$E$2:$E$7</definedName>
    <definedName name="Strategy_Type">Ref!$F$2:$F$4</definedName>
    <definedName name="Task_Group">Ref!$D$2:$D$6</definedName>
    <definedName name="Xác_suất_rủi_ro">Ref!$C$2:$C$6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A3" i="2"/>
  <c r="H3" i="2"/>
  <c r="A4" i="2"/>
  <c r="A8" i="2" s="1"/>
  <c r="A9" i="2" s="1"/>
  <c r="H4" i="2"/>
  <c r="H5" i="2"/>
  <c r="H6" i="2"/>
  <c r="H7" i="2"/>
  <c r="H8" i="2"/>
  <c r="H9" i="2"/>
  <c r="H10" i="2"/>
  <c r="A11" i="2"/>
  <c r="H11" i="2"/>
  <c r="A12" i="2"/>
  <c r="A13" i="2" s="1"/>
  <c r="A14" i="2" s="1"/>
  <c r="H12" i="2"/>
  <c r="H13" i="2"/>
  <c r="H14" i="2"/>
</calcChain>
</file>

<file path=xl/sharedStrings.xml><?xml version="1.0" encoding="utf-8"?>
<sst xmlns="http://schemas.openxmlformats.org/spreadsheetml/2006/main" count="426" uniqueCount="176">
  <si>
    <t>Task</t>
  </si>
  <si>
    <t>Assign</t>
  </si>
  <si>
    <t>From</t>
  </si>
  <si>
    <t>To</t>
  </si>
  <si>
    <t>% completed</t>
  </si>
  <si>
    <t>Note</t>
  </si>
  <si>
    <t>Mức độ rủi ro</t>
  </si>
  <si>
    <t>Exponent</t>
  </si>
  <si>
    <t>Risk group</t>
  </si>
  <si>
    <t>C1 - Customers &amp; Users</t>
  </si>
  <si>
    <t>C2 - Scope &amp; requirement</t>
  </si>
  <si>
    <t>C3 - Execution</t>
  </si>
  <si>
    <t>C4 - Environment</t>
  </si>
  <si>
    <t>Xác suất rủi ro</t>
  </si>
  <si>
    <t>Task Group</t>
  </si>
  <si>
    <t>Training</t>
  </si>
  <si>
    <t>Project Implementation</t>
  </si>
  <si>
    <t>Project Management</t>
  </si>
  <si>
    <t>CM Management</t>
  </si>
  <si>
    <t>Package and Release</t>
  </si>
  <si>
    <t>No</t>
  </si>
  <si>
    <t>Risk</t>
  </si>
  <si>
    <t>Risk Description</t>
  </si>
  <si>
    <t>Risk Type</t>
  </si>
  <si>
    <t>Risk Group</t>
  </si>
  <si>
    <t>Affects</t>
  </si>
  <si>
    <t>Probability</t>
  </si>
  <si>
    <t>Strategy Description</t>
  </si>
  <si>
    <t>Organizational</t>
  </si>
  <si>
    <t>Requirement</t>
  </si>
  <si>
    <t>Risk type</t>
  </si>
  <si>
    <t>Technology</t>
  </si>
  <si>
    <t>People</t>
  </si>
  <si>
    <t>Tool</t>
  </si>
  <si>
    <t>Estimation</t>
  </si>
  <si>
    <t>Strategy Type</t>
  </si>
  <si>
    <t>Avoid Risk</t>
  </si>
  <si>
    <t>Minimize Affects</t>
  </si>
  <si>
    <t>Plan B</t>
  </si>
  <si>
    <t>Member</t>
  </si>
  <si>
    <t>All</t>
  </si>
  <si>
    <t>Công nghệ mới, chưa thành thạo</t>
  </si>
  <si>
    <t>Tìm chuyên gia về Kotlin để hỏi khi có vấn đề kỹ thuật (trên các diễn đàn, xem youtube, …)</t>
  </si>
  <si>
    <t>Tool Asana</t>
  </si>
  <si>
    <t>Chưa biết cách sử dụng Tool</t>
  </si>
  <si>
    <t>Tìm video hướng dẫn sử dụng tool Asana</t>
  </si>
  <si>
    <t>Chưa biết cách sử dụng Tool nên có thể làm sai, xóa nhầm thư mục dự án</t>
  </si>
  <si>
    <t xml:space="preserve">Chỉ assign 1 người làm admin </t>
  </si>
  <si>
    <t>Họp dự án tuần 14/4 - 20/4</t>
  </si>
  <si>
    <t>Cài đặt GitHub</t>
  </si>
  <si>
    <t>version 12.3.5</t>
  </si>
  <si>
    <t>Tạo thư mục quản lý cấu hình</t>
  </si>
  <si>
    <t>Khảo sát yêu cầu chức năng</t>
  </si>
  <si>
    <t>Vẽ usecase model</t>
  </si>
  <si>
    <t>Viết đặc tả usecase (usecase specs)</t>
  </si>
  <si>
    <t>version 13</t>
  </si>
  <si>
    <t>Cài đặt Team Viewer</t>
  </si>
  <si>
    <t xml:space="preserve"> Review tài liệu đặc tả usecase spec</t>
  </si>
  <si>
    <t>Phân tích thiết kế</t>
  </si>
  <si>
    <t>-  Create new account</t>
  </si>
  <si>
    <t>Vẽ sequence diagram</t>
  </si>
  <si>
    <t>- Update account</t>
  </si>
  <si>
    <t>- Login</t>
  </si>
  <si>
    <t>- Logout</t>
  </si>
  <si>
    <t>- Approve new account</t>
  </si>
  <si>
    <t>Vẽ data diagram</t>
  </si>
  <si>
    <t>- Thiết kế CSDL</t>
  </si>
  <si>
    <t>- Thiết kế giao diện</t>
  </si>
  <si>
    <t>Dùng &lt;tên tool&gt;</t>
  </si>
  <si>
    <t>Trễ deadline</t>
  </si>
  <si>
    <t>Có nhiều thành viên chưa thạo công nghệ nên mất thời gian training</t>
  </si>
  <si>
    <t>github.com</t>
  </si>
  <si>
    <t>Họp dự án mỗi ngày (daily meeting)</t>
  </si>
  <si>
    <t>Lập trình</t>
  </si>
  <si>
    <t>Kiểm thử</t>
  </si>
  <si>
    <t>a. Training và làm dự án demo trước khi vào dự án thật
b. Mua một khóa học online về Kotline trên Udemy và làm dự án demo theo khóa học</t>
  </si>
  <si>
    <t>Không đủ thời gian để làm song song 2 dự án (lý thuyết và thực hành)</t>
  </si>
  <si>
    <t>Do đổi công nghệ phần thực hành nền sẽ phải làm đồng thời 2 dự án:
- demo lý thuyết theo công nghệ của lý thuyết
- thực hành: theo công nghệ mới đổi</t>
  </si>
  <si>
    <t>Phân chia nhân sự riêng biệt cho từng dự án (1 cho lý thuyết, 2 cho thực hành)</t>
  </si>
  <si>
    <t>1a. Code dùm
1b. Làm đoạn code mẫu + hướng dẫn sử dụng cho bạn reuse (copy paste)</t>
  </si>
  <si>
    <t>Trễ deadline do outsource</t>
  </si>
  <si>
    <t>Chi phí outsource vượt quá ngân sách</t>
  </si>
  <si>
    <t>Không tìm được người để outsource</t>
  </si>
  <si>
    <t>K kiểm soát được chất lượng của phần outsource)</t>
  </si>
  <si>
    <t>Hàng ngày review công việc của outsource-contractor</t>
  </si>
  <si>
    <t>Lap ke hoach du an</t>
  </si>
  <si>
    <t>Uoc luong chi phi</t>
  </si>
  <si>
    <t>Quan ly rui ro</t>
  </si>
  <si>
    <t>Bao cao tien do</t>
  </si>
  <si>
    <t>-integration testing/functional testing</t>
  </si>
  <si>
    <t xml:space="preserve">Cài đặt SQL Server </t>
  </si>
  <si>
    <t>version 2008 R8</t>
  </si>
  <si>
    <t>Partner Web</t>
  </si>
  <si>
    <t>Customer Web</t>
  </si>
  <si>
    <t>Admin Web</t>
  </si>
  <si>
    <t>SPRINT 1 (BASIC VERSION - MF)</t>
  </si>
  <si>
    <t>SPRINT 2 (ADVANCED VERSION - MF+AF)</t>
  </si>
  <si>
    <t>Tài liệu Phân tích thiết kế</t>
  </si>
  <si>
    <t>#hours</t>
  </si>
  <si>
    <r>
      <t xml:space="preserve">2a. Giao các task không liên quan đến lập trình cho các thành viên không giỏi lập trình (quyết định GÁNH TEAM)
2b. Giao các task đơn giản (k liên quan business) như CRUD
</t>
    </r>
    <r>
      <rPr>
        <b/>
        <sz val="12"/>
        <color rgb="FFFF0000"/>
        <rFont val="Calibri"/>
        <family val="2"/>
        <scheme val="minor"/>
      </rPr>
      <t>2c. Outsource cho người khác (giá nhiêu? Có kiểm soát được chất lượng k?)</t>
    </r>
  </si>
  <si>
    <r>
      <rPr>
        <b/>
        <sz val="12"/>
        <color rgb="FFFF0000"/>
        <rFont val="Calibri"/>
        <family val="2"/>
        <scheme val="minor"/>
      </rPr>
      <t>3a. Có nhóm dự phòng (ở đâu? Sang năm?)</t>
    </r>
    <r>
      <rPr>
        <sz val="12"/>
        <color theme="1"/>
        <rFont val="Calibri"/>
        <family val="2"/>
        <scheme val="minor"/>
      </rPr>
      <t xml:space="preserve">
</t>
    </r>
    <r>
      <rPr>
        <b/>
        <sz val="12"/>
        <color theme="1"/>
        <rFont val="Calibri"/>
        <family val="2"/>
        <scheme val="minor"/>
      </rPr>
      <t>3b. Đổi công nghệ (vào lúc nào? Có cho đổi k?)</t>
    </r>
    <r>
      <rPr>
        <sz val="12"/>
        <color theme="1"/>
        <rFont val="Calibri"/>
        <family val="2"/>
        <scheme val="minor"/>
      </rPr>
      <t xml:space="preserve">
3c. Đi làm thêm, tích tiền, sang năm học lại</t>
    </r>
  </si>
  <si>
    <t>Bảng đánh giá kỹ năng thành viên</t>
  </si>
  <si>
    <t>TRẦN QUỐC ĐẠI</t>
  </si>
  <si>
    <t>Ngôn ngữ LT</t>
  </si>
  <si>
    <t>PTTK</t>
  </si>
  <si>
    <t>UI</t>
  </si>
  <si>
    <t>CSDL</t>
  </si>
  <si>
    <t>QuerrySQL</t>
  </si>
  <si>
    <t>Tool QLDA</t>
  </si>
  <si>
    <t>Github</t>
  </si>
  <si>
    <t>CM: Git client</t>
  </si>
  <si>
    <t>PHÂN CHIA CÔNG VIỆC</t>
  </si>
  <si>
    <t>SPRINT 0</t>
  </si>
  <si>
    <t xml:space="preserve">Chuẩn bị môi trường </t>
  </si>
  <si>
    <t>Lập kế hoạch dự án</t>
  </si>
  <si>
    <t>Ksat Y/C</t>
  </si>
  <si>
    <t>all</t>
  </si>
  <si>
    <t>Trần Quốc Đại</t>
  </si>
  <si>
    <t>thành viên</t>
  </si>
  <si>
    <t>SPRINT 1</t>
  </si>
  <si>
    <t>SPRINT 2</t>
  </si>
  <si>
    <t>SPRINT 3</t>
  </si>
  <si>
    <t>Thống kê báo cáo</t>
  </si>
  <si>
    <t>Sửa lỗi</t>
  </si>
  <si>
    <t>Thông qua FB messenger /Team Viewer</t>
  </si>
  <si>
    <t>Thông qua Team Viewer</t>
  </si>
  <si>
    <t>Đại</t>
  </si>
  <si>
    <t>Tài, Tây, Khoa</t>
  </si>
  <si>
    <t>Đại,Nam</t>
  </si>
  <si>
    <t>figma</t>
  </si>
  <si>
    <t>Vẽ data diagram,tao sql sever</t>
  </si>
  <si>
    <t>Khoa</t>
  </si>
  <si>
    <t xml:space="preserve">Tài </t>
  </si>
  <si>
    <t xml:space="preserve">Đại </t>
  </si>
  <si>
    <t>Nam</t>
  </si>
  <si>
    <t>Tây</t>
  </si>
  <si>
    <t>Tài</t>
  </si>
  <si>
    <t>Mới học Nodejs, chưa áp dụng vào dự án nên chưa có nhiều kinh nghiệm</t>
  </si>
  <si>
    <t>Mới học nodejs, chưa áp dụng vào dự án nên chưa có nhiều kinh nghiệm</t>
  </si>
  <si>
    <t>SKILL\Tên</t>
  </si>
  <si>
    <t>LÊ HOÀNG NAM</t>
  </si>
  <si>
    <t>NGUYỄN ANH KHOA</t>
  </si>
  <si>
    <t>CAO HỮU TÀI</t>
  </si>
  <si>
    <t>FrontEnd</t>
  </si>
  <si>
    <t>BackEnd</t>
  </si>
  <si>
    <t>1h</t>
  </si>
  <si>
    <t>1h30</t>
  </si>
  <si>
    <t>19h</t>
  </si>
  <si>
    <t>20h30</t>
  </si>
  <si>
    <t>Nodejs</t>
  </si>
  <si>
    <t>3h</t>
  </si>
  <si>
    <t>22h</t>
  </si>
  <si>
    <t>2h</t>
  </si>
  <si>
    <t>21h</t>
  </si>
  <si>
    <t>Cài đặt Nodejs</t>
  </si>
  <si>
    <t>Cài đặt React</t>
  </si>
  <si>
    <t>Cài đặt Docker</t>
  </si>
  <si>
    <t>Docker Desktop</t>
  </si>
  <si>
    <t>Tạo tai khoan GitHub</t>
  </si>
  <si>
    <t>link học: microsoft team</t>
  </si>
  <si>
    <t>ReactJs</t>
  </si>
  <si>
    <t>JavaScript</t>
  </si>
  <si>
    <t>GitHub</t>
  </si>
  <si>
    <t>20h</t>
  </si>
  <si>
    <t>train offline</t>
  </si>
  <si>
    <t>1 ngày</t>
  </si>
  <si>
    <t>StartULM</t>
  </si>
  <si>
    <t xml:space="preserve">Outsource không gặp mặt trực tiếp sẽ không kiểm tra được chất lượng. </t>
  </si>
  <si>
    <t xml:space="preserve">outsource-contractor không đáp ứng kịp thời gian hoàn thành </t>
  </si>
  <si>
    <t>Gấp rút đặt deadline cho outsource-contractor hoàn thành sớm hơn dự tính</t>
  </si>
  <si>
    <t>Mức chi phí do outsource-contractor đưa ra không phù hợp với ngân sách.</t>
  </si>
  <si>
    <t>Tài,Khoa</t>
  </si>
  <si>
    <t>Nam,Đại</t>
  </si>
  <si>
    <t>Thương lượng với outsource-contractor để đưa ra một mức giá hợp lý</t>
  </si>
  <si>
    <t>Không tìm được người có thể đáp ứng được nhu cầu.</t>
  </si>
  <si>
    <t>Mở rộng giới hạn tìm kiếm để tìm được các outsource-contractor có thể đáp ứng được nhu cầu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</si>
</sst>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3"/>
      <color theme="1"/>
      <name val="Calibri"/>
      <family val="2"/>
      <scheme val="minor"/>
    </font>
    <font>
      <b/>
      <sz val="13"/>
      <name val="Calibri"/>
      <family val="2"/>
      <scheme val="minor"/>
    </font>
    <font>
      <sz val="12"/>
      <color theme="1"/>
      <name val="Calibri"/>
      <family val="2"/>
      <scheme val="minor"/>
    </font>
    <font>
      <b/>
      <sz val="12"/>
      <color theme="1"/>
      <name val="Calibri"/>
      <family val="2"/>
      <scheme val="minor"/>
    </font>
    <font>
      <b/>
      <sz val="11"/>
      <color rgb="FFFF0000"/>
      <name val="Calibri"/>
      <family val="2"/>
      <scheme val="minor"/>
    </font>
    <font>
      <b/>
      <sz val="12"/>
      <color rgb="FFFF0000"/>
      <name val="Calibri"/>
      <family val="2"/>
      <scheme val="minor"/>
    </font>
    <font>
      <b/>
      <sz val="14"/>
      <color theme="1"/>
      <name val="Calibri"/>
      <family val="2"/>
      <scheme val="minor"/>
    </font>
    <font>
      <b/>
      <sz val="14"/>
      <color rgb="FF000000"/>
      <name val="Calibri"/>
      <family val="2"/>
    </font>
    <font>
      <sz val="11"/>
      <color rgb="FF000000"/>
      <name val="Calibri"/>
      <family val="2"/>
    </font>
    <font>
      <sz val="10"/>
      <color theme="1"/>
      <name val="Arial"/>
      <family val="2"/>
    </font>
    <font>
      <b/>
      <sz val="11"/>
      <color rgb="FF000000"/>
      <name val="Calibri"/>
      <family val="2"/>
    </font>
  </fonts>
  <fills count="8">
    <fill>
      <patternFill patternType="none"/>
    </fill>
    <fill>
      <patternFill patternType="gray125"/>
    </fill>
    <fill>
      <patternFill patternType="solid">
        <fgColor theme="0" tint="-0.34998626667073579"/>
        <bgColor indexed="64"/>
      </patternFill>
    </fill>
    <fill>
      <patternFill patternType="solid">
        <fgColor rgb="FF00B05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4B084"/>
        <bgColor indexed="64"/>
      </patternFill>
    </fill>
    <fill>
      <patternFill patternType="solid">
        <fgColor rgb="FFA9D08E"/>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0" fillId="0" borderId="1" xfId="0" applyBorder="1"/>
    <xf numFmtId="0" fontId="1" fillId="2" borderId="1" xfId="0" applyFont="1" applyFill="1" applyBorder="1"/>
    <xf numFmtId="9" fontId="0" fillId="0" borderId="0" xfId="0" applyNumberFormat="1"/>
    <xf numFmtId="0" fontId="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1" xfId="0" applyBorder="1" applyAlignment="1">
      <alignment horizontal="center" vertical="center"/>
    </xf>
    <xf numFmtId="9" fontId="4" fillId="0" borderId="1" xfId="0" applyNumberFormat="1" applyFont="1" applyBorder="1" applyAlignment="1">
      <alignment horizontal="center" vertical="center" wrapText="1"/>
    </xf>
    <xf numFmtId="0" fontId="1" fillId="4" borderId="0" xfId="0" applyFont="1" applyFill="1"/>
    <xf numFmtId="0" fontId="0" fillId="0" borderId="1" xfId="0" applyBorder="1" applyAlignment="1">
      <alignment horizontal="left" indent="1"/>
    </xf>
    <xf numFmtId="0" fontId="1" fillId="0" borderId="1" xfId="0" applyFont="1" applyBorder="1"/>
    <xf numFmtId="19" fontId="0" fillId="0" borderId="1" xfId="0" applyNumberFormat="1" applyBorder="1"/>
    <xf numFmtId="0" fontId="1" fillId="2" borderId="1" xfId="0" applyFont="1" applyFill="1" applyBorder="1" applyAlignment="1">
      <alignment wrapText="1"/>
    </xf>
    <xf numFmtId="0" fontId="0" fillId="0" borderId="1" xfId="0" applyBorder="1" applyAlignment="1">
      <alignment wrapText="1"/>
    </xf>
    <xf numFmtId="0" fontId="0" fillId="0" borderId="0" xfId="0" applyAlignment="1">
      <alignment wrapText="1"/>
    </xf>
    <xf numFmtId="0" fontId="0" fillId="4" borderId="1" xfId="0" applyFill="1" applyBorder="1" applyAlignment="1">
      <alignment horizontal="center" vertical="center"/>
    </xf>
    <xf numFmtId="0" fontId="1" fillId="0" borderId="1" xfId="0" applyFont="1" applyBorder="1" applyAlignment="1">
      <alignment horizontal="left" indent="1"/>
    </xf>
    <xf numFmtId="0" fontId="6" fillId="0" borderId="1" xfId="0" applyFont="1" applyBorder="1" applyAlignment="1">
      <alignment horizontal="left" indent="1"/>
    </xf>
    <xf numFmtId="0" fontId="0" fillId="0" borderId="1" xfId="0" quotePrefix="1" applyBorder="1" applyAlignment="1">
      <alignment horizontal="left" indent="1"/>
    </xf>
    <xf numFmtId="0" fontId="1" fillId="0" borderId="1" xfId="0" quotePrefix="1" applyFont="1" applyBorder="1" applyAlignment="1">
      <alignment horizontal="left" indent="1"/>
    </xf>
    <xf numFmtId="0" fontId="1" fillId="4" borderId="1" xfId="0" quotePrefix="1" applyFont="1" applyFill="1" applyBorder="1" applyAlignment="1">
      <alignment horizontal="left" indent="1"/>
    </xf>
    <xf numFmtId="0" fontId="6" fillId="0" borderId="1" xfId="0" applyFont="1" applyBorder="1" applyAlignment="1">
      <alignment horizontal="left"/>
    </xf>
    <xf numFmtId="0" fontId="1" fillId="0" borderId="1" xfId="0" applyFont="1" applyBorder="1" applyAlignment="1">
      <alignment horizontal="left"/>
    </xf>
    <xf numFmtId="0" fontId="1" fillId="0" borderId="1" xfId="0" quotePrefix="1" applyFont="1" applyBorder="1" applyAlignment="1">
      <alignment horizontal="left"/>
    </xf>
    <xf numFmtId="0" fontId="0" fillId="0" borderId="0" xfId="0" applyFont="1" applyFill="1"/>
    <xf numFmtId="0" fontId="1" fillId="5" borderId="1" xfId="0" applyFont="1" applyFill="1" applyBorder="1"/>
    <xf numFmtId="0" fontId="0" fillId="5" borderId="1" xfId="0" applyFill="1" applyBorder="1"/>
    <xf numFmtId="0" fontId="0" fillId="0" borderId="2" xfId="0" applyBorder="1"/>
    <xf numFmtId="0" fontId="0" fillId="0" borderId="2" xfId="0" quotePrefix="1" applyBorder="1" applyAlignment="1">
      <alignment horizontal="left" indent="1"/>
    </xf>
    <xf numFmtId="0" fontId="0" fillId="0" borderId="2" xfId="0" applyBorder="1" applyAlignment="1">
      <alignment wrapText="1"/>
    </xf>
    <xf numFmtId="0" fontId="0" fillId="0" borderId="0" xfId="0" applyBorder="1"/>
    <xf numFmtId="0" fontId="1" fillId="0" borderId="0" xfId="0" quotePrefix="1" applyFont="1" applyBorder="1" applyAlignment="1">
      <alignment horizontal="left" indent="1"/>
    </xf>
    <xf numFmtId="0" fontId="0" fillId="0" borderId="0" xfId="0" applyBorder="1" applyAlignment="1">
      <alignment wrapText="1"/>
    </xf>
    <xf numFmtId="0" fontId="0" fillId="0" borderId="0" xfId="0" quotePrefix="1" applyBorder="1" applyAlignment="1">
      <alignment horizontal="left" indent="1"/>
    </xf>
    <xf numFmtId="0" fontId="1" fillId="0" borderId="0" xfId="0" applyFont="1" applyBorder="1" applyAlignment="1">
      <alignment horizontal="left" indent="1"/>
    </xf>
    <xf numFmtId="0" fontId="6" fillId="0" borderId="0" xfId="0" quotePrefix="1" applyFont="1" applyBorder="1" applyAlignment="1">
      <alignment horizontal="left"/>
    </xf>
    <xf numFmtId="0" fontId="6" fillId="0" borderId="0" xfId="0" applyFont="1" applyBorder="1" applyAlignment="1">
      <alignment horizontal="left" indent="1"/>
    </xf>
    <xf numFmtId="0" fontId="0" fillId="0" borderId="0" xfId="0" quotePrefix="1" applyBorder="1"/>
    <xf numFmtId="0" fontId="1" fillId="0" borderId="0" xfId="0" quotePrefix="1" applyFont="1" applyFill="1" applyBorder="1" applyAlignment="1">
      <alignment horizontal="left" indent="1"/>
    </xf>
    <xf numFmtId="0" fontId="0" fillId="0" borderId="0" xfId="0" applyFill="1" applyBorder="1"/>
    <xf numFmtId="0" fontId="0" fillId="0" borderId="0" xfId="0" applyFill="1" applyBorder="1" applyAlignment="1"/>
    <xf numFmtId="0" fontId="0" fillId="0" borderId="0" xfId="0" applyFill="1" applyBorder="1" applyAlignment="1">
      <alignment horizontal="center"/>
    </xf>
    <xf numFmtId="0" fontId="1" fillId="0" borderId="0" xfId="0" applyFont="1" applyFill="1" applyBorder="1"/>
    <xf numFmtId="0" fontId="8" fillId="0" borderId="0" xfId="0" applyFont="1" applyFill="1" applyBorder="1" applyAlignment="1"/>
    <xf numFmtId="0" fontId="10" fillId="0" borderId="1" xfId="0" applyFont="1" applyBorder="1" applyAlignment="1">
      <alignment horizontal="center" wrapText="1"/>
    </xf>
    <xf numFmtId="0" fontId="10" fillId="0" borderId="1" xfId="0" applyFont="1" applyBorder="1" applyAlignment="1">
      <alignment wrapText="1"/>
    </xf>
    <xf numFmtId="0" fontId="11" fillId="0" borderId="1" xfId="0" applyFont="1" applyBorder="1" applyAlignment="1">
      <alignment wrapText="1"/>
    </xf>
    <xf numFmtId="0" fontId="12" fillId="7" borderId="1" xfId="0" applyFont="1" applyFill="1" applyBorder="1" applyAlignment="1">
      <alignment wrapText="1"/>
    </xf>
    <xf numFmtId="0" fontId="11" fillId="0" borderId="1" xfId="0" applyFont="1" applyBorder="1" applyAlignment="1">
      <alignment horizontal="right" wrapText="1"/>
    </xf>
    <xf numFmtId="0" fontId="12" fillId="7" borderId="3" xfId="0" applyFont="1" applyFill="1" applyBorder="1" applyAlignment="1">
      <alignment wrapText="1"/>
    </xf>
    <xf numFmtId="0" fontId="10" fillId="0" borderId="2" xfId="0" applyFont="1" applyBorder="1" applyAlignment="1">
      <alignment wrapText="1"/>
    </xf>
    <xf numFmtId="0" fontId="11" fillId="0" borderId="2" xfId="0" applyFont="1" applyBorder="1" applyAlignment="1">
      <alignment wrapText="1"/>
    </xf>
    <xf numFmtId="0" fontId="11" fillId="0" borderId="4" xfId="0" applyFont="1" applyBorder="1" applyAlignment="1">
      <alignment wrapText="1"/>
    </xf>
    <xf numFmtId="0" fontId="11" fillId="0" borderId="4" xfId="0" applyFont="1" applyBorder="1" applyAlignment="1">
      <alignment horizontal="right" wrapText="1"/>
    </xf>
    <xf numFmtId="0" fontId="11" fillId="0" borderId="3" xfId="0" applyFont="1" applyBorder="1" applyAlignment="1">
      <alignment wrapText="1"/>
    </xf>
    <xf numFmtId="0" fontId="11" fillId="0" borderId="5" xfId="0" applyFont="1" applyBorder="1" applyAlignment="1">
      <alignment wrapText="1"/>
    </xf>
    <xf numFmtId="0" fontId="11" fillId="0" borderId="6" xfId="0" applyFont="1" applyBorder="1" applyAlignment="1">
      <alignment wrapText="1"/>
    </xf>
    <xf numFmtId="0" fontId="0" fillId="0" borderId="7" xfId="0" applyFill="1" applyBorder="1"/>
    <xf numFmtId="16" fontId="0" fillId="0" borderId="1" xfId="0" applyNumberFormat="1" applyBorder="1"/>
    <xf numFmtId="0" fontId="9" fillId="6" borderId="1" xfId="0" applyFont="1" applyFill="1" applyBorder="1" applyAlignment="1">
      <alignment horizontal="center" wrapText="1"/>
    </xf>
    <xf numFmtId="0" fontId="11" fillId="0" borderId="3" xfId="0" applyFont="1" applyBorder="1" applyAlignment="1">
      <alignment horizontal="center" wrapText="1"/>
    </xf>
    <xf numFmtId="0" fontId="11" fillId="0" borderId="5" xfId="0" applyFont="1" applyBorder="1" applyAlignment="1">
      <alignment horizontal="center" wrapText="1"/>
    </xf>
    <xf numFmtId="0" fontId="11" fillId="0" borderId="6" xfId="0" applyFont="1" applyBorder="1" applyAlignment="1">
      <alignment horizontal="center" wrapText="1"/>
    </xf>
    <xf numFmtId="0" fontId="0" fillId="0" borderId="1" xfId="0" applyBorder="1" applyAlignment="1">
      <alignment horizontal="center" vertical="center"/>
    </xf>
    <xf numFmtId="0" fontId="1" fillId="5" borderId="1" xfId="0" applyFont="1" applyFill="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7"/>
  <sheetViews>
    <sheetView topLeftCell="A43" workbookViewId="0">
      <selection activeCell="D59" sqref="D59"/>
    </sheetView>
  </sheetViews>
  <sheetFormatPr defaultRowHeight="15" x14ac:dyDescent="0.25"/>
  <cols>
    <col min="1" max="1" width="27" customWidth="1"/>
    <col min="2" max="2" width="42.5703125" bestFit="1" customWidth="1"/>
    <col min="3" max="3" width="13.5703125" customWidth="1"/>
    <col min="4" max="4" width="11.42578125" customWidth="1"/>
    <col min="5" max="5" width="13.85546875" bestFit="1" customWidth="1"/>
    <col min="6" max="6" width="14.85546875" bestFit="1" customWidth="1"/>
    <col min="7" max="7" width="12.5703125" bestFit="1" customWidth="1"/>
    <col min="8" max="8" width="40.85546875" style="18" bestFit="1" customWidth="1"/>
  </cols>
  <sheetData>
    <row r="1" spans="1:8" x14ac:dyDescent="0.25">
      <c r="A1" s="2" t="s">
        <v>14</v>
      </c>
      <c r="B1" s="2" t="s">
        <v>0</v>
      </c>
      <c r="C1" s="2" t="s">
        <v>1</v>
      </c>
      <c r="D1" s="2" t="s">
        <v>98</v>
      </c>
      <c r="E1" s="2" t="s">
        <v>2</v>
      </c>
      <c r="F1" s="2" t="s">
        <v>3</v>
      </c>
      <c r="G1" s="2" t="s">
        <v>4</v>
      </c>
      <c r="H1" s="16" t="s">
        <v>5</v>
      </c>
    </row>
    <row r="2" spans="1:8" x14ac:dyDescent="0.25">
      <c r="A2" s="14" t="s">
        <v>17</v>
      </c>
      <c r="B2" s="1" t="s">
        <v>72</v>
      </c>
      <c r="C2" s="1" t="s">
        <v>40</v>
      </c>
      <c r="D2" s="1" t="s">
        <v>146</v>
      </c>
      <c r="E2" s="15" t="s">
        <v>147</v>
      </c>
      <c r="F2" s="15" t="s">
        <v>148</v>
      </c>
      <c r="G2" s="1">
        <v>100</v>
      </c>
      <c r="H2" s="17" t="s">
        <v>124</v>
      </c>
    </row>
    <row r="3" spans="1:8" x14ac:dyDescent="0.25">
      <c r="A3" s="14" t="s">
        <v>17</v>
      </c>
      <c r="B3" s="1" t="s">
        <v>48</v>
      </c>
      <c r="C3" s="1" t="s">
        <v>40</v>
      </c>
      <c r="D3" s="1" t="s">
        <v>146</v>
      </c>
      <c r="E3" s="15" t="s">
        <v>147</v>
      </c>
      <c r="F3" s="1" t="s">
        <v>148</v>
      </c>
      <c r="G3" s="1">
        <v>100</v>
      </c>
      <c r="H3" s="17" t="s">
        <v>125</v>
      </c>
    </row>
    <row r="4" spans="1:8" x14ac:dyDescent="0.25">
      <c r="A4" s="14" t="s">
        <v>17</v>
      </c>
      <c r="B4" s="1" t="s">
        <v>85</v>
      </c>
      <c r="C4" s="1" t="s">
        <v>126</v>
      </c>
      <c r="D4" s="1" t="s">
        <v>150</v>
      </c>
      <c r="E4" s="1" t="s">
        <v>147</v>
      </c>
      <c r="F4" s="1" t="s">
        <v>151</v>
      </c>
      <c r="G4" s="1">
        <v>100</v>
      </c>
      <c r="H4" s="17"/>
    </row>
    <row r="5" spans="1:8" x14ac:dyDescent="0.25">
      <c r="A5" s="14" t="s">
        <v>17</v>
      </c>
      <c r="B5" s="1" t="s">
        <v>86</v>
      </c>
      <c r="C5" s="1" t="s">
        <v>126</v>
      </c>
      <c r="D5" s="1" t="s">
        <v>150</v>
      </c>
      <c r="E5" s="1" t="s">
        <v>147</v>
      </c>
      <c r="F5" s="1" t="s">
        <v>151</v>
      </c>
      <c r="G5" s="1">
        <v>100</v>
      </c>
      <c r="H5" s="17"/>
    </row>
    <row r="6" spans="1:8" x14ac:dyDescent="0.25">
      <c r="A6" s="14" t="s">
        <v>17</v>
      </c>
      <c r="B6" s="1" t="s">
        <v>87</v>
      </c>
      <c r="C6" s="1" t="s">
        <v>134</v>
      </c>
      <c r="D6" s="1" t="s">
        <v>152</v>
      </c>
      <c r="E6" s="1" t="s">
        <v>147</v>
      </c>
      <c r="F6" s="1" t="s">
        <v>153</v>
      </c>
      <c r="G6" s="1">
        <v>100</v>
      </c>
      <c r="H6" s="17"/>
    </row>
    <row r="7" spans="1:8" x14ac:dyDescent="0.25">
      <c r="A7" s="14" t="s">
        <v>17</v>
      </c>
      <c r="B7" s="1" t="s">
        <v>88</v>
      </c>
      <c r="C7" s="1" t="s">
        <v>126</v>
      </c>
      <c r="D7" s="1" t="s">
        <v>150</v>
      </c>
      <c r="E7" s="1" t="s">
        <v>147</v>
      </c>
      <c r="F7" s="1" t="s">
        <v>153</v>
      </c>
      <c r="G7" s="1">
        <v>100</v>
      </c>
      <c r="H7" s="17"/>
    </row>
    <row r="8" spans="1:8" x14ac:dyDescent="0.25">
      <c r="A8" s="14" t="s">
        <v>18</v>
      </c>
      <c r="B8" s="1" t="s">
        <v>49</v>
      </c>
      <c r="C8" s="1" t="s">
        <v>40</v>
      </c>
      <c r="D8" s="1"/>
      <c r="E8" s="1"/>
      <c r="F8" s="1"/>
      <c r="G8" s="1">
        <v>100</v>
      </c>
      <c r="H8" s="17" t="s">
        <v>71</v>
      </c>
    </row>
    <row r="9" spans="1:8" x14ac:dyDescent="0.25">
      <c r="A9" s="14" t="s">
        <v>18</v>
      </c>
      <c r="B9" s="1" t="s">
        <v>154</v>
      </c>
      <c r="C9" s="1" t="s">
        <v>40</v>
      </c>
      <c r="D9" s="1"/>
      <c r="E9" s="1"/>
      <c r="F9" s="1"/>
      <c r="G9" s="1">
        <v>100</v>
      </c>
      <c r="H9" s="17" t="s">
        <v>50</v>
      </c>
    </row>
    <row r="10" spans="1:8" x14ac:dyDescent="0.25">
      <c r="A10" s="14" t="s">
        <v>18</v>
      </c>
      <c r="B10" s="1" t="s">
        <v>51</v>
      </c>
      <c r="C10" s="1" t="s">
        <v>126</v>
      </c>
      <c r="D10" s="1"/>
      <c r="E10" s="1"/>
      <c r="F10" s="1"/>
      <c r="G10" s="1"/>
      <c r="H10" s="17"/>
    </row>
    <row r="11" spans="1:8" x14ac:dyDescent="0.25">
      <c r="A11" s="1"/>
      <c r="B11" s="1" t="s">
        <v>56</v>
      </c>
      <c r="C11" s="1" t="s">
        <v>40</v>
      </c>
      <c r="D11" s="1"/>
      <c r="E11" s="1"/>
      <c r="F11" s="1"/>
      <c r="G11" s="1">
        <v>100</v>
      </c>
      <c r="H11" s="17" t="s">
        <v>55</v>
      </c>
    </row>
    <row r="12" spans="1:8" x14ac:dyDescent="0.25">
      <c r="A12" s="1"/>
      <c r="B12" s="1" t="s">
        <v>155</v>
      </c>
      <c r="C12" s="1"/>
      <c r="D12" s="1"/>
      <c r="E12" s="1"/>
      <c r="F12" s="1"/>
      <c r="G12" s="1">
        <v>100</v>
      </c>
      <c r="H12" s="17"/>
    </row>
    <row r="13" spans="1:8" x14ac:dyDescent="0.25">
      <c r="A13" s="1"/>
      <c r="B13" s="1" t="s">
        <v>90</v>
      </c>
      <c r="C13" s="1" t="s">
        <v>40</v>
      </c>
      <c r="D13" s="1"/>
      <c r="E13" s="1"/>
      <c r="F13" s="1"/>
      <c r="G13" s="1"/>
      <c r="H13" s="17" t="s">
        <v>91</v>
      </c>
    </row>
    <row r="14" spans="1:8" x14ac:dyDescent="0.25">
      <c r="A14" s="1"/>
      <c r="B14" s="1" t="s">
        <v>156</v>
      </c>
      <c r="C14" s="1" t="s">
        <v>40</v>
      </c>
      <c r="D14" s="1"/>
      <c r="E14" s="1"/>
      <c r="F14" s="1"/>
      <c r="G14" s="1">
        <v>100</v>
      </c>
      <c r="H14" s="17" t="s">
        <v>157</v>
      </c>
    </row>
    <row r="15" spans="1:8" x14ac:dyDescent="0.25">
      <c r="A15" s="1"/>
      <c r="B15" s="1" t="s">
        <v>158</v>
      </c>
      <c r="C15" s="1" t="s">
        <v>40</v>
      </c>
      <c r="D15" s="1"/>
      <c r="E15" s="1"/>
      <c r="F15" s="1"/>
      <c r="G15" s="1">
        <v>100</v>
      </c>
      <c r="H15" s="17"/>
    </row>
    <row r="16" spans="1:8" x14ac:dyDescent="0.25">
      <c r="A16" s="1" t="s">
        <v>15</v>
      </c>
      <c r="B16" s="1" t="s">
        <v>149</v>
      </c>
      <c r="C16" s="1" t="s">
        <v>116</v>
      </c>
      <c r="D16" s="1" t="s">
        <v>152</v>
      </c>
      <c r="E16" s="1" t="s">
        <v>147</v>
      </c>
      <c r="F16" s="1" t="s">
        <v>153</v>
      </c>
      <c r="G16" s="1">
        <v>100</v>
      </c>
      <c r="H16" s="17" t="s">
        <v>159</v>
      </c>
    </row>
    <row r="17" spans="1:8" x14ac:dyDescent="0.25">
      <c r="A17" s="1" t="s">
        <v>15</v>
      </c>
      <c r="B17" s="1" t="s">
        <v>160</v>
      </c>
      <c r="C17" s="1" t="s">
        <v>40</v>
      </c>
      <c r="D17" s="1" t="s">
        <v>152</v>
      </c>
      <c r="E17" s="1" t="s">
        <v>147</v>
      </c>
      <c r="F17" s="1" t="s">
        <v>153</v>
      </c>
      <c r="G17" s="1">
        <v>100</v>
      </c>
      <c r="H17" s="17" t="s">
        <v>159</v>
      </c>
    </row>
    <row r="18" spans="1:8" x14ac:dyDescent="0.25">
      <c r="A18" s="1" t="s">
        <v>15</v>
      </c>
      <c r="B18" s="1" t="s">
        <v>161</v>
      </c>
      <c r="C18" s="1" t="s">
        <v>40</v>
      </c>
      <c r="D18" s="1" t="s">
        <v>150</v>
      </c>
      <c r="E18" s="1" t="s">
        <v>147</v>
      </c>
      <c r="F18" s="1" t="s">
        <v>151</v>
      </c>
      <c r="G18" s="1">
        <v>100</v>
      </c>
      <c r="H18" s="17" t="s">
        <v>159</v>
      </c>
    </row>
    <row r="19" spans="1:8" x14ac:dyDescent="0.25">
      <c r="A19" s="61" t="s">
        <v>15</v>
      </c>
      <c r="B19" s="61" t="s">
        <v>162</v>
      </c>
      <c r="C19" s="61" t="s">
        <v>40</v>
      </c>
      <c r="D19" s="61" t="s">
        <v>145</v>
      </c>
      <c r="E19" s="61" t="s">
        <v>147</v>
      </c>
      <c r="F19" s="61" t="s">
        <v>163</v>
      </c>
      <c r="G19" s="61">
        <v>100</v>
      </c>
      <c r="H19" s="18" t="s">
        <v>164</v>
      </c>
    </row>
    <row r="20" spans="1:8" x14ac:dyDescent="0.25">
      <c r="A20" s="14" t="s">
        <v>16</v>
      </c>
      <c r="B20" s="14" t="s">
        <v>52</v>
      </c>
      <c r="C20" s="1" t="s">
        <v>40</v>
      </c>
      <c r="D20" s="1"/>
      <c r="E20" s="1"/>
      <c r="F20" s="1"/>
      <c r="G20" s="1"/>
      <c r="H20" s="17"/>
    </row>
    <row r="21" spans="1:8" x14ac:dyDescent="0.25">
      <c r="A21" s="1"/>
      <c r="B21" s="13" t="s">
        <v>53</v>
      </c>
      <c r="C21" s="1" t="s">
        <v>131</v>
      </c>
      <c r="D21" s="1" t="s">
        <v>165</v>
      </c>
      <c r="E21" s="62">
        <v>44287</v>
      </c>
      <c r="F21" s="62">
        <v>44288</v>
      </c>
      <c r="G21" s="1">
        <v>100</v>
      </c>
      <c r="H21" s="17" t="s">
        <v>166</v>
      </c>
    </row>
    <row r="22" spans="1:8" x14ac:dyDescent="0.25">
      <c r="A22" s="1"/>
      <c r="B22" s="13" t="s">
        <v>54</v>
      </c>
      <c r="C22" s="1" t="s">
        <v>40</v>
      </c>
      <c r="D22" s="1" t="s">
        <v>152</v>
      </c>
      <c r="E22" s="1" t="s">
        <v>147</v>
      </c>
      <c r="F22" s="1" t="s">
        <v>153</v>
      </c>
      <c r="G22" s="1">
        <v>100</v>
      </c>
      <c r="H22" s="17"/>
    </row>
    <row r="23" spans="1:8" x14ac:dyDescent="0.25">
      <c r="A23" s="1"/>
      <c r="B23" s="13" t="s">
        <v>57</v>
      </c>
      <c r="C23" s="1" t="s">
        <v>40</v>
      </c>
      <c r="D23" s="1" t="s">
        <v>152</v>
      </c>
      <c r="E23" s="1" t="s">
        <v>147</v>
      </c>
      <c r="F23" s="1" t="s">
        <v>153</v>
      </c>
      <c r="G23" s="1">
        <v>100</v>
      </c>
      <c r="H23" s="17"/>
    </row>
    <row r="24" spans="1:8" x14ac:dyDescent="0.25">
      <c r="A24" s="1"/>
      <c r="B24" s="25" t="s">
        <v>95</v>
      </c>
      <c r="C24" s="1"/>
      <c r="D24" s="1"/>
      <c r="E24" s="1"/>
      <c r="F24" s="1"/>
      <c r="G24" s="1"/>
      <c r="H24" s="17"/>
    </row>
    <row r="25" spans="1:8" x14ac:dyDescent="0.25">
      <c r="A25" s="1"/>
      <c r="B25" s="26" t="s">
        <v>58</v>
      </c>
      <c r="C25" s="1" t="s">
        <v>40</v>
      </c>
      <c r="D25" s="1" t="s">
        <v>150</v>
      </c>
      <c r="E25" s="1" t="s">
        <v>147</v>
      </c>
      <c r="F25" s="1" t="s">
        <v>151</v>
      </c>
      <c r="G25" s="1">
        <v>100</v>
      </c>
      <c r="H25" s="17"/>
    </row>
    <row r="26" spans="1:8" x14ac:dyDescent="0.25">
      <c r="A26" s="1"/>
      <c r="B26" s="20" t="s">
        <v>92</v>
      </c>
      <c r="C26" s="1"/>
      <c r="D26" s="1"/>
      <c r="E26" s="1"/>
      <c r="F26" s="1"/>
      <c r="G26" s="1"/>
      <c r="H26" s="17"/>
    </row>
    <row r="27" spans="1:8" x14ac:dyDescent="0.25">
      <c r="A27" s="1"/>
      <c r="B27" s="22" t="s">
        <v>59</v>
      </c>
      <c r="C27" s="1" t="s">
        <v>136</v>
      </c>
      <c r="D27" s="1" t="s">
        <v>150</v>
      </c>
      <c r="E27" s="1" t="s">
        <v>147</v>
      </c>
      <c r="F27" s="1" t="s">
        <v>151</v>
      </c>
      <c r="G27" s="1">
        <v>100</v>
      </c>
      <c r="H27" s="17" t="s">
        <v>60</v>
      </c>
    </row>
    <row r="28" spans="1:8" x14ac:dyDescent="0.25">
      <c r="A28" s="1"/>
      <c r="B28" s="22" t="s">
        <v>61</v>
      </c>
      <c r="C28" s="1" t="s">
        <v>131</v>
      </c>
      <c r="D28" s="1" t="s">
        <v>150</v>
      </c>
      <c r="E28" s="1" t="s">
        <v>147</v>
      </c>
      <c r="F28" s="1" t="s">
        <v>151</v>
      </c>
      <c r="G28" s="1">
        <v>100</v>
      </c>
      <c r="H28" s="17" t="s">
        <v>60</v>
      </c>
    </row>
    <row r="29" spans="1:8" x14ac:dyDescent="0.25">
      <c r="A29" s="1"/>
      <c r="B29" s="22" t="s">
        <v>62</v>
      </c>
      <c r="C29" s="1" t="s">
        <v>126</v>
      </c>
      <c r="D29" s="1" t="s">
        <v>150</v>
      </c>
      <c r="E29" s="1" t="s">
        <v>147</v>
      </c>
      <c r="F29" s="1" t="s">
        <v>151</v>
      </c>
      <c r="G29" s="1">
        <v>100</v>
      </c>
      <c r="H29" s="17" t="s">
        <v>60</v>
      </c>
    </row>
    <row r="30" spans="1:8" x14ac:dyDescent="0.25">
      <c r="A30" s="1"/>
      <c r="B30" s="22" t="s">
        <v>63</v>
      </c>
      <c r="C30" s="1" t="s">
        <v>134</v>
      </c>
      <c r="D30" s="1" t="s">
        <v>150</v>
      </c>
      <c r="E30" s="1" t="s">
        <v>147</v>
      </c>
      <c r="F30" s="1" t="s">
        <v>151</v>
      </c>
      <c r="G30" s="1">
        <v>100</v>
      </c>
      <c r="H30" s="17" t="s">
        <v>60</v>
      </c>
    </row>
    <row r="31" spans="1:8" x14ac:dyDescent="0.25">
      <c r="A31" s="1"/>
      <c r="B31" s="22" t="s">
        <v>64</v>
      </c>
      <c r="C31" s="1" t="s">
        <v>131</v>
      </c>
      <c r="D31" s="1" t="s">
        <v>150</v>
      </c>
      <c r="E31" s="1" t="s">
        <v>147</v>
      </c>
      <c r="F31" s="1" t="s">
        <v>151</v>
      </c>
      <c r="G31" s="1">
        <v>100</v>
      </c>
      <c r="H31" s="17" t="s">
        <v>60</v>
      </c>
    </row>
    <row r="32" spans="1:8" x14ac:dyDescent="0.25">
      <c r="A32" s="1"/>
      <c r="B32" s="23" t="s">
        <v>93</v>
      </c>
      <c r="C32" s="1"/>
      <c r="D32" s="1"/>
      <c r="E32" s="1"/>
      <c r="F32" s="1"/>
      <c r="G32" s="1"/>
      <c r="H32" s="17"/>
    </row>
    <row r="33" spans="1:8" x14ac:dyDescent="0.25">
      <c r="A33" s="1"/>
      <c r="B33" s="22" t="s">
        <v>59</v>
      </c>
      <c r="C33" s="1" t="s">
        <v>136</v>
      </c>
      <c r="D33" s="1" t="s">
        <v>150</v>
      </c>
      <c r="E33" s="1" t="s">
        <v>147</v>
      </c>
      <c r="F33" s="1" t="s">
        <v>151</v>
      </c>
      <c r="G33" s="1">
        <v>100</v>
      </c>
      <c r="H33" s="17"/>
    </row>
    <row r="34" spans="1:8" x14ac:dyDescent="0.25">
      <c r="A34" s="1"/>
      <c r="B34" s="22" t="s">
        <v>61</v>
      </c>
      <c r="C34" s="1" t="s">
        <v>131</v>
      </c>
      <c r="D34" s="1" t="s">
        <v>150</v>
      </c>
      <c r="E34" s="1" t="s">
        <v>147</v>
      </c>
      <c r="F34" s="1" t="s">
        <v>151</v>
      </c>
      <c r="G34" s="1">
        <v>100</v>
      </c>
      <c r="H34" s="17"/>
    </row>
    <row r="35" spans="1:8" x14ac:dyDescent="0.25">
      <c r="A35" s="1"/>
      <c r="B35" s="22" t="s">
        <v>62</v>
      </c>
      <c r="C35" s="1" t="s">
        <v>126</v>
      </c>
      <c r="D35" s="1" t="s">
        <v>150</v>
      </c>
      <c r="E35" s="1" t="s">
        <v>147</v>
      </c>
      <c r="F35" s="1" t="s">
        <v>151</v>
      </c>
      <c r="G35" s="1">
        <v>100</v>
      </c>
      <c r="H35" s="17"/>
    </row>
    <row r="36" spans="1:8" x14ac:dyDescent="0.25">
      <c r="A36" s="1"/>
      <c r="B36" s="22" t="s">
        <v>63</v>
      </c>
      <c r="C36" s="1" t="s">
        <v>134</v>
      </c>
      <c r="D36" s="1" t="s">
        <v>150</v>
      </c>
      <c r="E36" s="1" t="s">
        <v>147</v>
      </c>
      <c r="F36" s="1" t="s">
        <v>151</v>
      </c>
      <c r="G36" s="1">
        <v>100</v>
      </c>
      <c r="H36" s="17"/>
    </row>
    <row r="37" spans="1:8" x14ac:dyDescent="0.25">
      <c r="A37" s="1"/>
      <c r="B37" s="22" t="s">
        <v>64</v>
      </c>
      <c r="C37" s="1" t="s">
        <v>131</v>
      </c>
      <c r="D37" s="1" t="s">
        <v>150</v>
      </c>
      <c r="E37" s="1" t="s">
        <v>147</v>
      </c>
      <c r="F37" s="1" t="s">
        <v>151</v>
      </c>
      <c r="G37" s="1">
        <v>100</v>
      </c>
      <c r="H37" s="17"/>
    </row>
    <row r="38" spans="1:8" x14ac:dyDescent="0.25">
      <c r="A38" s="1"/>
      <c r="B38" s="23" t="s">
        <v>94</v>
      </c>
      <c r="C38" s="1"/>
      <c r="D38" s="1"/>
      <c r="E38" s="1"/>
      <c r="F38" s="1"/>
      <c r="G38" s="1"/>
      <c r="H38" s="17"/>
    </row>
    <row r="39" spans="1:8" x14ac:dyDescent="0.25">
      <c r="A39" s="1"/>
      <c r="B39" s="22" t="s">
        <v>59</v>
      </c>
      <c r="C39" s="1" t="s">
        <v>136</v>
      </c>
      <c r="D39" s="1" t="s">
        <v>150</v>
      </c>
      <c r="E39" s="1" t="s">
        <v>147</v>
      </c>
      <c r="F39" s="1" t="s">
        <v>151</v>
      </c>
      <c r="G39" s="1">
        <v>100</v>
      </c>
      <c r="H39" s="17"/>
    </row>
    <row r="40" spans="1:8" x14ac:dyDescent="0.25">
      <c r="A40" s="1"/>
      <c r="B40" s="22" t="s">
        <v>61</v>
      </c>
      <c r="C40" s="1" t="s">
        <v>131</v>
      </c>
      <c r="D40" s="1" t="s">
        <v>150</v>
      </c>
      <c r="E40" s="1" t="s">
        <v>147</v>
      </c>
      <c r="F40" s="1" t="s">
        <v>151</v>
      </c>
      <c r="G40" s="1">
        <v>100</v>
      </c>
      <c r="H40" s="17"/>
    </row>
    <row r="41" spans="1:8" x14ac:dyDescent="0.25">
      <c r="A41" s="1"/>
      <c r="B41" s="22" t="s">
        <v>62</v>
      </c>
      <c r="C41" s="1" t="s">
        <v>126</v>
      </c>
      <c r="D41" s="1" t="s">
        <v>150</v>
      </c>
      <c r="E41" s="1" t="s">
        <v>147</v>
      </c>
      <c r="F41" s="1" t="s">
        <v>151</v>
      </c>
      <c r="G41" s="1">
        <v>100</v>
      </c>
      <c r="H41" s="17"/>
    </row>
    <row r="42" spans="1:8" x14ac:dyDescent="0.25">
      <c r="A42" s="1"/>
      <c r="B42" s="22" t="s">
        <v>63</v>
      </c>
      <c r="C42" s="1" t="s">
        <v>134</v>
      </c>
      <c r="D42" s="1" t="s">
        <v>150</v>
      </c>
      <c r="E42" s="1" t="s">
        <v>147</v>
      </c>
      <c r="F42" s="1" t="s">
        <v>151</v>
      </c>
      <c r="G42" s="1">
        <v>100</v>
      </c>
      <c r="H42" s="17"/>
    </row>
    <row r="43" spans="1:8" x14ac:dyDescent="0.25">
      <c r="A43" s="1"/>
      <c r="B43" s="22" t="s">
        <v>64</v>
      </c>
      <c r="C43" s="1" t="s">
        <v>131</v>
      </c>
      <c r="D43" s="1" t="s">
        <v>150</v>
      </c>
      <c r="E43" s="1" t="s">
        <v>147</v>
      </c>
      <c r="F43" s="1" t="s">
        <v>151</v>
      </c>
      <c r="G43" s="1">
        <v>100</v>
      </c>
      <c r="H43" s="17"/>
    </row>
    <row r="44" spans="1:8" x14ac:dyDescent="0.25">
      <c r="A44" s="1"/>
      <c r="B44" s="23" t="s">
        <v>66</v>
      </c>
      <c r="C44" s="1" t="s">
        <v>128</v>
      </c>
      <c r="D44" s="1" t="s">
        <v>150</v>
      </c>
      <c r="E44" s="1" t="s">
        <v>147</v>
      </c>
      <c r="F44" s="1" t="s">
        <v>151</v>
      </c>
      <c r="G44" s="1">
        <v>100</v>
      </c>
      <c r="H44" s="17" t="s">
        <v>130</v>
      </c>
    </row>
    <row r="45" spans="1:8" x14ac:dyDescent="0.25">
      <c r="A45" s="1"/>
      <c r="B45" s="23" t="s">
        <v>67</v>
      </c>
      <c r="C45" s="1" t="s">
        <v>127</v>
      </c>
      <c r="D45" s="1" t="s">
        <v>150</v>
      </c>
      <c r="E45" s="1" t="s">
        <v>147</v>
      </c>
      <c r="F45" s="1" t="s">
        <v>151</v>
      </c>
      <c r="G45" s="1">
        <v>100</v>
      </c>
      <c r="H45" s="17" t="s">
        <v>129</v>
      </c>
    </row>
    <row r="46" spans="1:8" x14ac:dyDescent="0.25">
      <c r="A46" s="1"/>
      <c r="B46" s="20" t="s">
        <v>73</v>
      </c>
      <c r="C46" s="1"/>
      <c r="D46" s="1"/>
      <c r="E46" s="1"/>
      <c r="F46" s="1"/>
      <c r="G46" s="1"/>
      <c r="H46" s="17"/>
    </row>
    <row r="47" spans="1:8" x14ac:dyDescent="0.25">
      <c r="A47" s="1"/>
      <c r="B47" s="22" t="s">
        <v>59</v>
      </c>
      <c r="C47" s="1" t="s">
        <v>132</v>
      </c>
      <c r="D47" s="1" t="s">
        <v>150</v>
      </c>
      <c r="E47" s="1" t="s">
        <v>147</v>
      </c>
      <c r="F47" s="1" t="s">
        <v>151</v>
      </c>
      <c r="G47" s="1">
        <v>70</v>
      </c>
      <c r="H47" s="17"/>
    </row>
    <row r="48" spans="1:8" x14ac:dyDescent="0.25">
      <c r="A48" s="1"/>
      <c r="B48" s="22" t="s">
        <v>61</v>
      </c>
      <c r="C48" s="1" t="s">
        <v>131</v>
      </c>
      <c r="D48" s="1" t="s">
        <v>150</v>
      </c>
      <c r="E48" s="1" t="s">
        <v>147</v>
      </c>
      <c r="F48" s="1" t="s">
        <v>151</v>
      </c>
      <c r="G48" s="1">
        <v>70</v>
      </c>
      <c r="H48" s="17"/>
    </row>
    <row r="49" spans="1:8" x14ac:dyDescent="0.25">
      <c r="A49" s="1"/>
      <c r="B49" s="22" t="s">
        <v>62</v>
      </c>
      <c r="C49" s="1" t="s">
        <v>133</v>
      </c>
      <c r="D49" s="1" t="s">
        <v>150</v>
      </c>
      <c r="E49" s="1" t="s">
        <v>147</v>
      </c>
      <c r="F49" s="1" t="s">
        <v>151</v>
      </c>
      <c r="G49" s="1">
        <v>70</v>
      </c>
      <c r="H49" s="17"/>
    </row>
    <row r="50" spans="1:8" x14ac:dyDescent="0.25">
      <c r="A50" s="1"/>
      <c r="B50" s="22" t="s">
        <v>63</v>
      </c>
      <c r="C50" s="1" t="s">
        <v>126</v>
      </c>
      <c r="D50" s="1" t="s">
        <v>150</v>
      </c>
      <c r="E50" s="1" t="s">
        <v>147</v>
      </c>
      <c r="F50" s="1" t="s">
        <v>151</v>
      </c>
      <c r="G50" s="1">
        <v>70</v>
      </c>
      <c r="H50" s="17"/>
    </row>
    <row r="51" spans="1:8" x14ac:dyDescent="0.25">
      <c r="A51" s="1"/>
      <c r="B51" s="22" t="s">
        <v>64</v>
      </c>
      <c r="C51" s="1" t="s">
        <v>134</v>
      </c>
      <c r="D51" s="1" t="s">
        <v>150</v>
      </c>
      <c r="E51" s="1" t="s">
        <v>147</v>
      </c>
      <c r="F51" s="1" t="s">
        <v>151</v>
      </c>
      <c r="G51" s="1">
        <v>70</v>
      </c>
      <c r="H51" s="17"/>
    </row>
    <row r="52" spans="1:8" x14ac:dyDescent="0.25">
      <c r="A52" s="1"/>
      <c r="B52" s="20"/>
      <c r="C52" s="1"/>
      <c r="D52" s="1"/>
      <c r="E52" s="1"/>
      <c r="F52" s="1"/>
      <c r="G52" s="1"/>
      <c r="H52" s="17"/>
    </row>
    <row r="53" spans="1:8" x14ac:dyDescent="0.25">
      <c r="A53" s="1"/>
      <c r="B53" s="26" t="s">
        <v>74</v>
      </c>
      <c r="C53" s="1" t="s">
        <v>135</v>
      </c>
      <c r="D53" s="1" t="s">
        <v>152</v>
      </c>
      <c r="E53" s="1" t="s">
        <v>147</v>
      </c>
      <c r="F53" s="1" t="s">
        <v>153</v>
      </c>
      <c r="G53" s="1">
        <v>70</v>
      </c>
      <c r="H53" s="17"/>
    </row>
    <row r="54" spans="1:8" x14ac:dyDescent="0.25">
      <c r="A54" s="1"/>
      <c r="B54" s="27" t="s">
        <v>89</v>
      </c>
      <c r="C54" s="1" t="s">
        <v>135</v>
      </c>
      <c r="D54" s="1"/>
      <c r="E54" s="1"/>
      <c r="F54" s="1"/>
      <c r="G54" s="1"/>
      <c r="H54" s="17"/>
    </row>
    <row r="55" spans="1:8" x14ac:dyDescent="0.25">
      <c r="A55" s="1"/>
      <c r="B55" s="25" t="s">
        <v>96</v>
      </c>
      <c r="C55" s="1"/>
      <c r="D55" s="1"/>
      <c r="E55" s="1"/>
      <c r="F55" s="1"/>
      <c r="G55" s="1"/>
      <c r="H55" s="17"/>
    </row>
    <row r="56" spans="1:8" x14ac:dyDescent="0.25">
      <c r="A56" s="1"/>
      <c r="B56" s="20" t="s">
        <v>58</v>
      </c>
      <c r="C56" s="1"/>
      <c r="D56" s="1"/>
      <c r="E56" s="1"/>
      <c r="F56" s="1"/>
      <c r="G56" s="1"/>
      <c r="H56" s="17"/>
    </row>
    <row r="57" spans="1:8" x14ac:dyDescent="0.25">
      <c r="A57" s="1"/>
      <c r="B57" s="23" t="s">
        <v>66</v>
      </c>
      <c r="C57" s="1" t="s">
        <v>128</v>
      </c>
      <c r="D57" s="1" t="s">
        <v>150</v>
      </c>
      <c r="E57" s="1" t="s">
        <v>147</v>
      </c>
      <c r="F57" s="1" t="s">
        <v>153</v>
      </c>
      <c r="G57" s="1">
        <v>70</v>
      </c>
      <c r="H57" s="17" t="s">
        <v>65</v>
      </c>
    </row>
    <row r="58" spans="1:8" x14ac:dyDescent="0.25">
      <c r="A58" s="1"/>
      <c r="B58" s="21" t="s">
        <v>92</v>
      </c>
      <c r="C58" s="1"/>
      <c r="D58" s="1"/>
      <c r="E58" s="1"/>
      <c r="F58" s="1"/>
      <c r="G58" s="1"/>
      <c r="H58" s="17"/>
    </row>
    <row r="59" spans="1:8" x14ac:dyDescent="0.25">
      <c r="A59" s="1"/>
      <c r="B59" s="21" t="s">
        <v>97</v>
      </c>
      <c r="C59" s="1"/>
      <c r="D59" s="1"/>
      <c r="E59" s="1"/>
      <c r="F59" s="1"/>
      <c r="G59" s="1"/>
      <c r="H59" s="17"/>
    </row>
    <row r="60" spans="1:8" x14ac:dyDescent="0.25">
      <c r="A60" s="1"/>
      <c r="B60" s="22" t="s">
        <v>59</v>
      </c>
      <c r="C60" s="1" t="s">
        <v>136</v>
      </c>
      <c r="D60" s="1"/>
      <c r="E60" s="1"/>
      <c r="F60" s="1"/>
      <c r="G60" s="1"/>
      <c r="H60" s="17"/>
    </row>
    <row r="61" spans="1:8" x14ac:dyDescent="0.25">
      <c r="A61" s="1"/>
      <c r="B61" s="22" t="s">
        <v>61</v>
      </c>
      <c r="C61" s="1" t="s">
        <v>131</v>
      </c>
      <c r="D61" s="1"/>
      <c r="E61" s="1"/>
      <c r="F61" s="1"/>
      <c r="G61" s="1"/>
      <c r="H61" s="17"/>
    </row>
    <row r="62" spans="1:8" x14ac:dyDescent="0.25">
      <c r="A62" s="1"/>
      <c r="B62" s="22" t="s">
        <v>62</v>
      </c>
      <c r="C62" s="1" t="s">
        <v>126</v>
      </c>
      <c r="D62" s="1"/>
      <c r="E62" s="1"/>
      <c r="F62" s="1"/>
      <c r="G62" s="1"/>
      <c r="H62" s="17"/>
    </row>
    <row r="63" spans="1:8" x14ac:dyDescent="0.25">
      <c r="A63" s="1"/>
      <c r="B63" s="22" t="s">
        <v>63</v>
      </c>
      <c r="C63" s="1" t="s">
        <v>133</v>
      </c>
      <c r="D63" s="1"/>
      <c r="E63" s="1"/>
      <c r="F63" s="1"/>
      <c r="G63" s="1"/>
      <c r="H63" s="17"/>
    </row>
    <row r="64" spans="1:8" x14ac:dyDescent="0.25">
      <c r="A64" s="1"/>
      <c r="B64" s="22" t="s">
        <v>64</v>
      </c>
      <c r="C64" s="1" t="s">
        <v>134</v>
      </c>
      <c r="D64" s="1"/>
      <c r="E64" s="1"/>
      <c r="F64" s="1"/>
      <c r="G64" s="1"/>
      <c r="H64" s="17"/>
    </row>
    <row r="65" spans="1:8" x14ac:dyDescent="0.25">
      <c r="A65" s="1"/>
      <c r="B65" s="24" t="s">
        <v>93</v>
      </c>
      <c r="C65" s="1"/>
      <c r="D65" s="1"/>
      <c r="E65" s="1"/>
      <c r="F65" s="1"/>
      <c r="G65" s="1"/>
      <c r="H65" s="17"/>
    </row>
    <row r="66" spans="1:8" x14ac:dyDescent="0.25">
      <c r="A66" s="1"/>
      <c r="B66" s="1"/>
      <c r="C66" s="1"/>
      <c r="D66" s="1"/>
      <c r="E66" s="1"/>
      <c r="F66" s="1"/>
      <c r="G66" s="1"/>
      <c r="H66" s="17"/>
    </row>
    <row r="67" spans="1:8" x14ac:dyDescent="0.25">
      <c r="A67" s="1"/>
      <c r="B67" s="24" t="s">
        <v>94</v>
      </c>
      <c r="C67" s="1"/>
      <c r="D67" s="1"/>
      <c r="E67" s="1"/>
      <c r="F67" s="1"/>
      <c r="G67" s="1"/>
      <c r="H67" s="17"/>
    </row>
    <row r="68" spans="1:8" x14ac:dyDescent="0.25">
      <c r="A68" s="1"/>
      <c r="B68" s="23"/>
      <c r="C68" s="1"/>
      <c r="D68" s="1"/>
      <c r="E68" s="1"/>
      <c r="F68" s="1"/>
      <c r="G68" s="1"/>
      <c r="H68" s="17"/>
    </row>
    <row r="69" spans="1:8" x14ac:dyDescent="0.25">
      <c r="A69" s="1"/>
      <c r="B69" s="23" t="s">
        <v>67</v>
      </c>
      <c r="C69" s="1"/>
      <c r="D69" s="1"/>
      <c r="E69" s="1"/>
      <c r="F69" s="1"/>
      <c r="G69" s="1"/>
      <c r="H69" s="17" t="s">
        <v>68</v>
      </c>
    </row>
    <row r="70" spans="1:8" x14ac:dyDescent="0.25">
      <c r="A70" s="1"/>
      <c r="B70" s="23" t="s">
        <v>92</v>
      </c>
      <c r="C70" s="1"/>
      <c r="D70" s="1"/>
      <c r="E70" s="1"/>
      <c r="F70" s="1"/>
      <c r="G70" s="1"/>
      <c r="H70" s="17"/>
    </row>
    <row r="71" spans="1:8" x14ac:dyDescent="0.25">
      <c r="A71" s="1"/>
      <c r="B71" s="20" t="s">
        <v>73</v>
      </c>
      <c r="C71" s="1"/>
      <c r="D71" s="1"/>
      <c r="E71" s="1"/>
      <c r="F71" s="1"/>
      <c r="G71" s="1"/>
      <c r="H71" s="17"/>
    </row>
    <row r="72" spans="1:8" x14ac:dyDescent="0.25">
      <c r="A72" s="1"/>
      <c r="B72" s="22" t="s">
        <v>59</v>
      </c>
      <c r="C72" s="1"/>
      <c r="D72" s="1"/>
      <c r="E72" s="1"/>
      <c r="F72" s="1"/>
      <c r="G72" s="1"/>
      <c r="H72" s="17"/>
    </row>
    <row r="73" spans="1:8" x14ac:dyDescent="0.25">
      <c r="A73" s="1"/>
      <c r="B73" s="22" t="s">
        <v>61</v>
      </c>
      <c r="C73" s="1"/>
      <c r="D73" s="1"/>
      <c r="E73" s="1"/>
      <c r="F73" s="1"/>
      <c r="G73" s="1"/>
      <c r="H73" s="17"/>
    </row>
    <row r="74" spans="1:8" x14ac:dyDescent="0.25">
      <c r="A74" s="1"/>
      <c r="B74" s="22" t="s">
        <v>62</v>
      </c>
      <c r="C74" s="1"/>
      <c r="D74" s="1"/>
      <c r="E74" s="1"/>
      <c r="F74" s="1"/>
      <c r="G74" s="1"/>
      <c r="H74" s="17"/>
    </row>
    <row r="75" spans="1:8" x14ac:dyDescent="0.25">
      <c r="A75" s="31"/>
      <c r="B75" s="32" t="s">
        <v>63</v>
      </c>
      <c r="C75" s="31"/>
      <c r="D75" s="31"/>
      <c r="E75" s="31"/>
      <c r="F75" s="31"/>
      <c r="G75" s="31"/>
      <c r="H75" s="33"/>
    </row>
    <row r="76" spans="1:8" x14ac:dyDescent="0.25">
      <c r="A76" s="1"/>
      <c r="B76" s="22" t="s">
        <v>64</v>
      </c>
      <c r="C76" s="1"/>
      <c r="D76" s="1"/>
      <c r="E76" s="1"/>
      <c r="F76" s="1"/>
      <c r="G76" s="1"/>
      <c r="H76" s="17"/>
    </row>
    <row r="77" spans="1:8" x14ac:dyDescent="0.25">
      <c r="A77" s="34"/>
      <c r="B77" s="35"/>
      <c r="C77" s="34"/>
      <c r="D77" s="34"/>
      <c r="E77" s="34"/>
      <c r="F77" s="34"/>
      <c r="G77" s="34"/>
      <c r="H77" s="36"/>
    </row>
    <row r="78" spans="1:8" x14ac:dyDescent="0.25">
      <c r="A78" s="34"/>
      <c r="B78" s="35"/>
      <c r="C78" s="34"/>
      <c r="D78" s="34"/>
      <c r="E78" s="34"/>
      <c r="F78" s="34"/>
      <c r="G78" s="34"/>
      <c r="H78" s="36"/>
    </row>
    <row r="79" spans="1:8" x14ac:dyDescent="0.25">
      <c r="A79" s="34"/>
      <c r="B79" s="35"/>
      <c r="C79" s="34"/>
      <c r="D79" s="34"/>
      <c r="E79" s="34"/>
      <c r="F79" s="34"/>
      <c r="G79" s="34"/>
      <c r="H79" s="36"/>
    </row>
    <row r="80" spans="1:8" x14ac:dyDescent="0.25">
      <c r="A80" s="34"/>
      <c r="B80" s="35"/>
      <c r="C80" s="34"/>
      <c r="D80" s="34"/>
      <c r="E80" s="34"/>
      <c r="F80" s="34"/>
      <c r="G80" s="34"/>
      <c r="H80" s="36"/>
    </row>
    <row r="81" spans="1:8" x14ac:dyDescent="0.25">
      <c r="A81" s="34"/>
      <c r="B81" s="37"/>
      <c r="C81" s="34"/>
      <c r="D81" s="34"/>
      <c r="E81" s="34"/>
      <c r="F81" s="34"/>
      <c r="G81" s="34"/>
      <c r="H81" s="36"/>
    </row>
    <row r="82" spans="1:8" x14ac:dyDescent="0.25">
      <c r="A82" s="34"/>
      <c r="B82" s="38"/>
      <c r="C82" s="34"/>
      <c r="D82" s="34"/>
      <c r="E82" s="34"/>
      <c r="F82" s="34"/>
      <c r="G82" s="34"/>
      <c r="H82" s="36"/>
    </row>
    <row r="83" spans="1:8" x14ac:dyDescent="0.25">
      <c r="A83" s="34"/>
      <c r="B83" s="38"/>
      <c r="C83" s="34"/>
      <c r="D83" s="34"/>
      <c r="E83" s="34"/>
      <c r="F83" s="34"/>
      <c r="G83" s="34"/>
      <c r="H83" s="36"/>
    </row>
    <row r="84" spans="1:8" x14ac:dyDescent="0.25">
      <c r="A84" s="34"/>
      <c r="B84" s="35"/>
      <c r="C84" s="34"/>
      <c r="D84" s="34"/>
      <c r="E84" s="34"/>
      <c r="F84" s="34"/>
      <c r="G84" s="34"/>
      <c r="H84" s="36"/>
    </row>
    <row r="85" spans="1:8" x14ac:dyDescent="0.25">
      <c r="A85" s="34"/>
      <c r="B85" s="35"/>
      <c r="C85" s="34"/>
      <c r="D85" s="34"/>
      <c r="E85" s="34"/>
      <c r="F85" s="34"/>
      <c r="G85" s="34"/>
      <c r="H85" s="36"/>
    </row>
    <row r="86" spans="1:8" x14ac:dyDescent="0.25">
      <c r="A86" s="34"/>
      <c r="B86" s="39"/>
      <c r="C86" s="34"/>
      <c r="D86" s="34"/>
      <c r="E86" s="34"/>
      <c r="F86" s="34"/>
      <c r="G86" s="34"/>
      <c r="H86" s="36"/>
    </row>
    <row r="87" spans="1:8" x14ac:dyDescent="0.25">
      <c r="A87" s="34"/>
      <c r="B87" s="35"/>
      <c r="C87" s="34"/>
      <c r="D87" s="34"/>
      <c r="E87" s="34"/>
      <c r="F87" s="34"/>
      <c r="G87" s="34"/>
      <c r="H87" s="36"/>
    </row>
    <row r="88" spans="1:8" x14ac:dyDescent="0.25">
      <c r="A88" s="34"/>
      <c r="B88" s="35"/>
      <c r="C88" s="34"/>
      <c r="D88" s="34"/>
      <c r="E88" s="34"/>
      <c r="F88" s="34"/>
      <c r="G88" s="34"/>
      <c r="H88" s="36"/>
    </row>
    <row r="89" spans="1:8" x14ac:dyDescent="0.25">
      <c r="A89" s="34"/>
      <c r="B89" s="40"/>
      <c r="C89" s="34"/>
      <c r="D89" s="34"/>
      <c r="E89" s="34"/>
      <c r="F89" s="34"/>
      <c r="G89" s="34"/>
      <c r="H89" s="36"/>
    </row>
    <row r="90" spans="1:8" x14ac:dyDescent="0.25">
      <c r="A90" s="34"/>
      <c r="B90" s="38"/>
      <c r="C90" s="34"/>
      <c r="D90" s="34"/>
      <c r="E90" s="34"/>
      <c r="F90" s="34"/>
      <c r="G90" s="34"/>
      <c r="H90" s="36"/>
    </row>
    <row r="91" spans="1:8" x14ac:dyDescent="0.25">
      <c r="A91" s="34"/>
      <c r="B91" s="35"/>
      <c r="C91" s="34"/>
      <c r="D91" s="34"/>
      <c r="E91" s="34"/>
      <c r="F91" s="34"/>
      <c r="G91" s="34"/>
      <c r="H91" s="36"/>
    </row>
    <row r="92" spans="1:8" x14ac:dyDescent="0.25">
      <c r="A92" s="34"/>
      <c r="B92" s="40"/>
      <c r="C92" s="34"/>
      <c r="D92" s="34"/>
      <c r="E92" s="34"/>
      <c r="F92" s="34"/>
      <c r="G92" s="34"/>
      <c r="H92" s="36"/>
    </row>
    <row r="93" spans="1:8" x14ac:dyDescent="0.25">
      <c r="A93" s="34"/>
      <c r="B93" s="40"/>
      <c r="C93" s="34"/>
      <c r="D93" s="34"/>
      <c r="E93" s="34"/>
      <c r="F93" s="34"/>
      <c r="G93" s="34"/>
      <c r="H93" s="36"/>
    </row>
    <row r="94" spans="1:8" x14ac:dyDescent="0.25">
      <c r="A94" s="34"/>
      <c r="B94" s="37"/>
      <c r="C94" s="34"/>
      <c r="D94" s="34"/>
      <c r="E94" s="34"/>
      <c r="F94" s="34"/>
      <c r="G94" s="34"/>
      <c r="H94" s="36"/>
    </row>
    <row r="95" spans="1:8" x14ac:dyDescent="0.25">
      <c r="A95" s="34"/>
      <c r="B95" s="37"/>
      <c r="C95" s="34"/>
      <c r="D95" s="34"/>
      <c r="E95" s="34"/>
      <c r="F95" s="34"/>
      <c r="G95" s="34"/>
      <c r="H95" s="36"/>
    </row>
    <row r="96" spans="1:8" x14ac:dyDescent="0.25">
      <c r="A96" s="34"/>
      <c r="B96" s="37"/>
      <c r="C96" s="34"/>
      <c r="D96" s="34"/>
      <c r="E96" s="34"/>
      <c r="F96" s="34"/>
      <c r="G96" s="34"/>
      <c r="H96" s="36"/>
    </row>
    <row r="97" spans="1:8" x14ac:dyDescent="0.25">
      <c r="A97" s="34"/>
      <c r="B97" s="37"/>
      <c r="C97" s="34"/>
      <c r="D97" s="34"/>
      <c r="E97" s="34"/>
      <c r="F97" s="34"/>
      <c r="G97" s="34"/>
      <c r="H97" s="36"/>
    </row>
    <row r="98" spans="1:8" x14ac:dyDescent="0.25">
      <c r="A98" s="34"/>
      <c r="B98" s="37"/>
      <c r="C98" s="34"/>
      <c r="D98" s="34"/>
      <c r="E98" s="34"/>
      <c r="F98" s="34"/>
      <c r="G98" s="34"/>
      <c r="H98" s="36"/>
    </row>
    <row r="99" spans="1:8" x14ac:dyDescent="0.25">
      <c r="A99" s="34"/>
      <c r="B99" s="42"/>
      <c r="C99" s="34"/>
      <c r="D99" s="34"/>
      <c r="E99" s="34"/>
      <c r="F99" s="34"/>
      <c r="G99" s="34"/>
      <c r="H99" s="36"/>
    </row>
    <row r="100" spans="1:8" x14ac:dyDescent="0.25">
      <c r="A100" s="34"/>
      <c r="B100" s="43"/>
      <c r="C100" s="34"/>
      <c r="D100" s="34"/>
      <c r="E100" s="34"/>
      <c r="F100" s="34"/>
      <c r="G100" s="34"/>
      <c r="H100" s="36"/>
    </row>
    <row r="101" spans="1:8" x14ac:dyDescent="0.25">
      <c r="A101" s="34"/>
      <c r="B101" s="42"/>
      <c r="C101" s="34"/>
      <c r="D101" s="34"/>
      <c r="E101" s="34"/>
      <c r="F101" s="34"/>
      <c r="G101" s="34"/>
      <c r="H101" s="36"/>
    </row>
    <row r="102" spans="1:8" x14ac:dyDescent="0.25">
      <c r="A102" s="34"/>
      <c r="B102" s="42"/>
      <c r="C102" s="34"/>
      <c r="D102" s="34"/>
      <c r="E102" s="34"/>
      <c r="F102" s="34"/>
      <c r="G102" s="34"/>
      <c r="H102" s="36"/>
    </row>
    <row r="103" spans="1:8" x14ac:dyDescent="0.25">
      <c r="A103" s="34"/>
      <c r="B103" s="35"/>
      <c r="C103" s="34"/>
      <c r="D103" s="34"/>
      <c r="E103" s="34"/>
      <c r="F103" s="34"/>
      <c r="G103" s="34"/>
      <c r="H103" s="36"/>
    </row>
    <row r="104" spans="1:8" x14ac:dyDescent="0.25">
      <c r="A104" s="34"/>
      <c r="B104" s="35"/>
      <c r="C104" s="34"/>
      <c r="D104" s="34"/>
      <c r="E104" s="34"/>
      <c r="F104" s="34"/>
      <c r="G104" s="34"/>
      <c r="H104" s="36"/>
    </row>
    <row r="105" spans="1:8" x14ac:dyDescent="0.25">
      <c r="A105" s="34"/>
      <c r="B105" s="38"/>
      <c r="C105" s="34"/>
      <c r="D105" s="34"/>
      <c r="E105" s="34"/>
      <c r="F105" s="34"/>
      <c r="G105" s="34"/>
      <c r="H105" s="36"/>
    </row>
    <row r="106" spans="1:8" x14ac:dyDescent="0.25">
      <c r="A106" s="34"/>
      <c r="B106" s="37"/>
      <c r="C106" s="34"/>
      <c r="D106" s="34"/>
      <c r="E106" s="34"/>
      <c r="F106" s="34"/>
      <c r="G106" s="34"/>
      <c r="H106" s="36"/>
    </row>
    <row r="107" spans="1:8" x14ac:dyDescent="0.25">
      <c r="A107" s="34"/>
      <c r="B107" s="37"/>
      <c r="C107" s="34"/>
      <c r="D107" s="34"/>
      <c r="E107" s="34"/>
      <c r="F107" s="34"/>
      <c r="G107" s="34"/>
      <c r="H107" s="36"/>
    </row>
    <row r="108" spans="1:8" x14ac:dyDescent="0.25">
      <c r="A108" s="34"/>
      <c r="B108" s="37"/>
      <c r="C108" s="34"/>
      <c r="D108" s="34"/>
      <c r="E108" s="34"/>
      <c r="F108" s="34"/>
      <c r="G108" s="34"/>
      <c r="H108" s="36"/>
    </row>
    <row r="109" spans="1:8" x14ac:dyDescent="0.25">
      <c r="A109" s="34"/>
      <c r="B109" s="37"/>
      <c r="C109" s="34"/>
      <c r="D109" s="34"/>
      <c r="E109" s="34"/>
      <c r="F109" s="34"/>
      <c r="G109" s="34"/>
      <c r="H109" s="36"/>
    </row>
    <row r="110" spans="1:8" x14ac:dyDescent="0.25">
      <c r="A110" s="34"/>
      <c r="B110" s="37"/>
      <c r="C110" s="34"/>
      <c r="D110" s="34"/>
      <c r="E110" s="34"/>
      <c r="F110" s="34"/>
      <c r="G110" s="34"/>
      <c r="H110" s="36"/>
    </row>
    <row r="111" spans="1:8" x14ac:dyDescent="0.25">
      <c r="A111" s="34"/>
      <c r="B111" s="35"/>
      <c r="C111" s="34"/>
      <c r="D111" s="34"/>
      <c r="E111" s="34"/>
      <c r="F111" s="34"/>
      <c r="G111" s="34"/>
      <c r="H111" s="36"/>
    </row>
    <row r="112" spans="1:8" x14ac:dyDescent="0.25">
      <c r="A112" s="34"/>
      <c r="B112" s="35"/>
      <c r="C112" s="34"/>
      <c r="D112" s="34"/>
      <c r="E112" s="34"/>
      <c r="F112" s="34"/>
      <c r="G112" s="34"/>
      <c r="H112" s="36"/>
    </row>
    <row r="113" spans="1:8" x14ac:dyDescent="0.25">
      <c r="A113" s="34"/>
      <c r="B113" s="35"/>
      <c r="C113" s="34"/>
      <c r="D113" s="34"/>
      <c r="E113" s="34"/>
      <c r="F113" s="34"/>
      <c r="G113" s="34"/>
      <c r="H113" s="36"/>
    </row>
    <row r="114" spans="1:8" x14ac:dyDescent="0.25">
      <c r="A114" s="34"/>
      <c r="B114" s="35"/>
      <c r="C114" s="34"/>
      <c r="D114" s="34"/>
      <c r="E114" s="34"/>
      <c r="F114" s="34"/>
      <c r="G114" s="34"/>
      <c r="H114" s="36"/>
    </row>
    <row r="115" spans="1:8" x14ac:dyDescent="0.25">
      <c r="A115" s="34"/>
      <c r="B115" s="37"/>
      <c r="C115" s="34"/>
      <c r="D115" s="34"/>
      <c r="E115" s="34"/>
      <c r="F115" s="34"/>
      <c r="G115" s="34"/>
      <c r="H115" s="36"/>
    </row>
    <row r="116" spans="1:8" x14ac:dyDescent="0.25">
      <c r="A116" s="34"/>
      <c r="B116" s="38"/>
      <c r="C116" s="34"/>
      <c r="D116" s="34"/>
      <c r="E116" s="34"/>
      <c r="F116" s="34"/>
      <c r="G116" s="34"/>
      <c r="H116" s="36"/>
    </row>
    <row r="117" spans="1:8" x14ac:dyDescent="0.25">
      <c r="A117" s="34"/>
      <c r="B117" s="38"/>
      <c r="C117" s="34"/>
      <c r="D117" s="34"/>
      <c r="E117" s="34"/>
      <c r="F117" s="34"/>
      <c r="G117" s="34"/>
      <c r="H117" s="36"/>
    </row>
    <row r="118" spans="1:8" x14ac:dyDescent="0.25">
      <c r="A118" s="34"/>
      <c r="B118" s="35"/>
      <c r="C118" s="34"/>
      <c r="D118" s="34"/>
      <c r="E118" s="34"/>
      <c r="F118" s="34"/>
      <c r="G118" s="34"/>
      <c r="H118" s="36"/>
    </row>
    <row r="119" spans="1:8" x14ac:dyDescent="0.25">
      <c r="A119" s="34"/>
      <c r="B119" s="35"/>
      <c r="C119" s="34"/>
      <c r="D119" s="34"/>
      <c r="E119" s="34"/>
      <c r="F119" s="34"/>
      <c r="G119" s="34"/>
      <c r="H119" s="36"/>
    </row>
    <row r="120" spans="1:8" x14ac:dyDescent="0.25">
      <c r="A120" s="34"/>
      <c r="B120" s="39"/>
      <c r="C120" s="34"/>
      <c r="D120" s="34"/>
      <c r="E120" s="34"/>
      <c r="F120" s="34"/>
      <c r="G120" s="34"/>
      <c r="H120" s="36"/>
    </row>
    <row r="121" spans="1:8" x14ac:dyDescent="0.25">
      <c r="A121" s="34"/>
      <c r="B121" s="35"/>
      <c r="C121" s="34"/>
      <c r="D121" s="34"/>
      <c r="E121" s="34"/>
      <c r="F121" s="34"/>
      <c r="G121" s="34"/>
      <c r="H121" s="36"/>
    </row>
    <row r="122" spans="1:8" x14ac:dyDescent="0.25">
      <c r="A122" s="34"/>
      <c r="B122" s="34"/>
      <c r="C122" s="34"/>
      <c r="D122" s="34"/>
      <c r="E122" s="34"/>
      <c r="F122" s="34"/>
      <c r="G122" s="34"/>
      <c r="H122" s="36"/>
    </row>
    <row r="123" spans="1:8" x14ac:dyDescent="0.25">
      <c r="A123" s="34"/>
      <c r="B123" s="41"/>
      <c r="C123" s="34"/>
      <c r="D123" s="34"/>
      <c r="E123" s="34"/>
      <c r="F123" s="34"/>
      <c r="G123" s="34"/>
      <c r="H123" s="36"/>
    </row>
    <row r="124" spans="1:8" x14ac:dyDescent="0.25">
      <c r="A124" s="34"/>
      <c r="B124" s="34"/>
      <c r="C124" s="34"/>
      <c r="D124" s="34"/>
      <c r="E124" s="34"/>
      <c r="F124" s="34"/>
      <c r="G124" s="34"/>
      <c r="H124" s="36"/>
    </row>
    <row r="125" spans="1:8" x14ac:dyDescent="0.25">
      <c r="A125" s="34"/>
      <c r="B125" s="34"/>
      <c r="C125" s="34"/>
      <c r="D125" s="34"/>
      <c r="E125" s="34"/>
      <c r="F125" s="34"/>
      <c r="G125" s="34"/>
      <c r="H125" s="36"/>
    </row>
    <row r="126" spans="1:8" x14ac:dyDescent="0.25">
      <c r="A126" s="34"/>
      <c r="B126" s="34"/>
      <c r="C126" s="34"/>
      <c r="D126" s="34"/>
      <c r="E126" s="34"/>
      <c r="F126" s="34"/>
      <c r="G126" s="34"/>
      <c r="H126" s="36"/>
    </row>
    <row r="127" spans="1:8" x14ac:dyDescent="0.25">
      <c r="A127" s="34"/>
      <c r="B127" s="34"/>
      <c r="C127" s="34"/>
      <c r="D127" s="34"/>
      <c r="E127" s="34"/>
      <c r="F127" s="34"/>
      <c r="G127" s="34"/>
      <c r="H127" s="36"/>
    </row>
  </sheetData>
  <dataValidations count="2">
    <dataValidation type="list" allowBlank="1" showInputMessage="1" showErrorMessage="1" sqref="B66 B100 A2:A18 A20:A127" xr:uid="{00000000-0002-0000-0000-000000000000}">
      <formula1>Task_Group</formula1>
    </dataValidation>
    <dataValidation type="list" allowBlank="1" showInputMessage="1" showErrorMessage="1" sqref="C2:D18 C20:D127" xr:uid="{00000000-0002-0000-0000-000001000000}">
      <formula1>Member</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topLeftCell="A6" workbookViewId="0">
      <selection activeCell="F18" sqref="F18"/>
    </sheetView>
  </sheetViews>
  <sheetFormatPr defaultRowHeight="15" x14ac:dyDescent="0.25"/>
  <cols>
    <col min="1" max="1" width="4.42578125" bestFit="1" customWidth="1"/>
    <col min="2" max="2" width="17.42578125" customWidth="1"/>
    <col min="3" max="3" width="27.42578125" customWidth="1"/>
    <col min="4" max="4" width="24" customWidth="1"/>
    <col min="5" max="5" width="20.7109375" customWidth="1"/>
    <col min="6" max="6" width="8.28515625" bestFit="1" customWidth="1"/>
    <col min="7" max="7" width="13" customWidth="1"/>
    <col min="8" max="8" width="10.85546875" bestFit="1" customWidth="1"/>
    <col min="9" max="9" width="16.140625" bestFit="1" customWidth="1"/>
    <col min="10" max="10" width="39.140625" customWidth="1"/>
    <col min="11" max="11" width="20.5703125" customWidth="1"/>
  </cols>
  <sheetData>
    <row r="1" spans="1:10" ht="17.25" x14ac:dyDescent="0.25">
      <c r="A1" s="4" t="s">
        <v>20</v>
      </c>
      <c r="B1" s="4" t="s">
        <v>21</v>
      </c>
      <c r="C1" s="4" t="s">
        <v>22</v>
      </c>
      <c r="D1" s="4" t="s">
        <v>23</v>
      </c>
      <c r="E1" s="4" t="s">
        <v>24</v>
      </c>
      <c r="F1" s="5" t="s">
        <v>25</v>
      </c>
      <c r="G1" s="4" t="s">
        <v>26</v>
      </c>
      <c r="H1" s="6" t="s">
        <v>7</v>
      </c>
      <c r="I1" s="6" t="s">
        <v>35</v>
      </c>
      <c r="J1" s="4" t="s">
        <v>27</v>
      </c>
    </row>
    <row r="2" spans="1:10" ht="47.25" x14ac:dyDescent="0.25">
      <c r="A2" s="7">
        <v>1</v>
      </c>
      <c r="B2" s="8" t="s">
        <v>41</v>
      </c>
      <c r="C2" s="9" t="s">
        <v>137</v>
      </c>
      <c r="D2" s="7" t="s">
        <v>31</v>
      </c>
      <c r="E2" s="7" t="s">
        <v>11</v>
      </c>
      <c r="F2" s="10">
        <v>5</v>
      </c>
      <c r="G2" s="11">
        <v>1</v>
      </c>
      <c r="H2" s="19">
        <f>F2*G2</f>
        <v>5</v>
      </c>
      <c r="I2" s="10" t="s">
        <v>36</v>
      </c>
      <c r="J2" s="9" t="s">
        <v>42</v>
      </c>
    </row>
    <row r="3" spans="1:10" ht="78.75" x14ac:dyDescent="0.25">
      <c r="A3" s="7">
        <f t="shared" ref="A3:A14" si="0">(A2+1)</f>
        <v>2</v>
      </c>
      <c r="B3" s="8" t="s">
        <v>41</v>
      </c>
      <c r="C3" s="9" t="s">
        <v>138</v>
      </c>
      <c r="D3" s="7" t="s">
        <v>31</v>
      </c>
      <c r="E3" s="7" t="s">
        <v>9</v>
      </c>
      <c r="F3" s="10">
        <v>5</v>
      </c>
      <c r="G3" s="11">
        <v>0.75</v>
      </c>
      <c r="H3" s="19">
        <f>F3*G3</f>
        <v>3.75</v>
      </c>
      <c r="I3" s="10" t="s">
        <v>37</v>
      </c>
      <c r="J3" s="9" t="s">
        <v>75</v>
      </c>
    </row>
    <row r="4" spans="1:10" ht="94.5" x14ac:dyDescent="0.25">
      <c r="A4" s="7">
        <f t="shared" si="0"/>
        <v>3</v>
      </c>
      <c r="B4" s="8" t="s">
        <v>41</v>
      </c>
      <c r="C4" s="9" t="s">
        <v>138</v>
      </c>
      <c r="D4" s="7" t="s">
        <v>31</v>
      </c>
      <c r="E4" s="7" t="s">
        <v>12</v>
      </c>
      <c r="F4" s="10">
        <v>5</v>
      </c>
      <c r="G4" s="11">
        <v>0.75</v>
      </c>
      <c r="H4" s="19">
        <f>F4*G4</f>
        <v>3.75</v>
      </c>
      <c r="I4" s="10" t="s">
        <v>38</v>
      </c>
      <c r="J4" s="9" t="s">
        <v>100</v>
      </c>
    </row>
    <row r="5" spans="1:10" ht="110.25" x14ac:dyDescent="0.25">
      <c r="A5" s="7"/>
      <c r="B5" s="8" t="s">
        <v>76</v>
      </c>
      <c r="C5" s="9" t="s">
        <v>77</v>
      </c>
      <c r="D5" s="7" t="s">
        <v>34</v>
      </c>
      <c r="E5" s="7" t="s">
        <v>12</v>
      </c>
      <c r="F5" s="10">
        <v>5</v>
      </c>
      <c r="G5" s="11">
        <v>0.5</v>
      </c>
      <c r="H5" s="19">
        <f t="shared" ref="H5:H14" si="1">F5*G5</f>
        <v>2.5</v>
      </c>
      <c r="I5" s="10" t="s">
        <v>37</v>
      </c>
      <c r="J5" s="9" t="s">
        <v>78</v>
      </c>
    </row>
    <row r="6" spans="1:10" ht="47.25" x14ac:dyDescent="0.25">
      <c r="A6" s="7"/>
      <c r="B6" s="8" t="s">
        <v>69</v>
      </c>
      <c r="C6" s="9" t="s">
        <v>70</v>
      </c>
      <c r="D6" s="7" t="s">
        <v>32</v>
      </c>
      <c r="E6" s="7" t="s">
        <v>9</v>
      </c>
      <c r="F6" s="10">
        <v>5</v>
      </c>
      <c r="G6" s="11">
        <v>0.75</v>
      </c>
      <c r="H6" s="19">
        <f t="shared" si="1"/>
        <v>3.75</v>
      </c>
      <c r="I6" s="10" t="s">
        <v>36</v>
      </c>
      <c r="J6" s="9" t="s">
        <v>79</v>
      </c>
    </row>
    <row r="7" spans="1:10" ht="126" x14ac:dyDescent="0.25">
      <c r="A7" s="7"/>
      <c r="B7" s="8" t="s">
        <v>69</v>
      </c>
      <c r="C7" s="9" t="s">
        <v>70</v>
      </c>
      <c r="D7" s="7" t="s">
        <v>32</v>
      </c>
      <c r="E7" s="7" t="s">
        <v>9</v>
      </c>
      <c r="F7" s="10">
        <v>5</v>
      </c>
      <c r="G7" s="11">
        <v>0.75</v>
      </c>
      <c r="H7" s="19">
        <f t="shared" ref="H7" si="2">F7*G7</f>
        <v>3.75</v>
      </c>
      <c r="I7" s="10" t="s">
        <v>37</v>
      </c>
      <c r="J7" s="9" t="s">
        <v>99</v>
      </c>
    </row>
    <row r="8" spans="1:10" ht="31.5" x14ac:dyDescent="0.25">
      <c r="A8" s="7">
        <f>(A4+1)</f>
        <v>4</v>
      </c>
      <c r="B8" s="8" t="s">
        <v>43</v>
      </c>
      <c r="C8" s="9" t="s">
        <v>44</v>
      </c>
      <c r="D8" s="7" t="s">
        <v>33</v>
      </c>
      <c r="E8" s="7" t="s">
        <v>12</v>
      </c>
      <c r="F8" s="10">
        <v>3</v>
      </c>
      <c r="G8" s="11">
        <v>0.75</v>
      </c>
      <c r="H8" s="19">
        <f t="shared" si="1"/>
        <v>2.25</v>
      </c>
      <c r="I8" s="10" t="s">
        <v>36</v>
      </c>
      <c r="J8" s="9" t="s">
        <v>45</v>
      </c>
    </row>
    <row r="9" spans="1:10" ht="47.25" x14ac:dyDescent="0.25">
      <c r="A9" s="7">
        <f t="shared" si="0"/>
        <v>5</v>
      </c>
      <c r="B9" s="8" t="s">
        <v>43</v>
      </c>
      <c r="C9" s="9" t="s">
        <v>46</v>
      </c>
      <c r="D9" s="7" t="s">
        <v>33</v>
      </c>
      <c r="E9" s="7" t="s">
        <v>10</v>
      </c>
      <c r="F9" s="10">
        <v>4</v>
      </c>
      <c r="G9" s="11">
        <v>0.25</v>
      </c>
      <c r="H9" s="19">
        <f t="shared" si="1"/>
        <v>1</v>
      </c>
      <c r="I9" s="10" t="s">
        <v>37</v>
      </c>
      <c r="J9" s="9" t="s">
        <v>47</v>
      </c>
    </row>
    <row r="10" spans="1:10" ht="63" x14ac:dyDescent="0.25">
      <c r="A10" s="7">
        <v>6</v>
      </c>
      <c r="B10" s="8" t="s">
        <v>83</v>
      </c>
      <c r="C10" s="9" t="s">
        <v>167</v>
      </c>
      <c r="D10" s="7" t="s">
        <v>33</v>
      </c>
      <c r="E10" s="7" t="s">
        <v>10</v>
      </c>
      <c r="F10" s="10">
        <v>3</v>
      </c>
      <c r="G10" s="11">
        <v>0.75</v>
      </c>
      <c r="H10" s="19">
        <f t="shared" si="1"/>
        <v>2.25</v>
      </c>
      <c r="I10" s="10" t="s">
        <v>37</v>
      </c>
      <c r="J10" s="9" t="s">
        <v>84</v>
      </c>
    </row>
    <row r="11" spans="1:10" ht="47.25" x14ac:dyDescent="0.25">
      <c r="A11" s="7">
        <f t="shared" si="0"/>
        <v>7</v>
      </c>
      <c r="B11" s="8" t="s">
        <v>80</v>
      </c>
      <c r="C11" s="9" t="s">
        <v>168</v>
      </c>
      <c r="D11" s="7" t="s">
        <v>32</v>
      </c>
      <c r="E11" s="7" t="s">
        <v>10</v>
      </c>
      <c r="F11" s="10">
        <v>2</v>
      </c>
      <c r="G11" s="11">
        <v>0.25</v>
      </c>
      <c r="H11" s="19">
        <f t="shared" si="1"/>
        <v>0.5</v>
      </c>
      <c r="I11" s="10" t="s">
        <v>36</v>
      </c>
      <c r="J11" s="9" t="s">
        <v>169</v>
      </c>
    </row>
    <row r="12" spans="1:10" ht="47.25" x14ac:dyDescent="0.25">
      <c r="A12" s="7">
        <f t="shared" si="0"/>
        <v>8</v>
      </c>
      <c r="B12" s="8" t="s">
        <v>81</v>
      </c>
      <c r="C12" s="9" t="s">
        <v>170</v>
      </c>
      <c r="D12" s="7" t="s">
        <v>32</v>
      </c>
      <c r="E12" s="7" t="s">
        <v>11</v>
      </c>
      <c r="F12" s="10">
        <v>3</v>
      </c>
      <c r="G12" s="11">
        <v>0.25</v>
      </c>
      <c r="H12" s="19">
        <f t="shared" si="1"/>
        <v>0.75</v>
      </c>
      <c r="I12" s="10" t="s">
        <v>38</v>
      </c>
      <c r="J12" s="9" t="s">
        <v>173</v>
      </c>
    </row>
    <row r="13" spans="1:10" ht="47.25" x14ac:dyDescent="0.25">
      <c r="A13" s="7">
        <f t="shared" si="0"/>
        <v>9</v>
      </c>
      <c r="B13" s="8" t="s">
        <v>82</v>
      </c>
      <c r="C13" s="9" t="s">
        <v>174</v>
      </c>
      <c r="D13" s="7" t="s">
        <v>32</v>
      </c>
      <c r="E13" s="7" t="s">
        <v>12</v>
      </c>
      <c r="F13" s="10">
        <v>1</v>
      </c>
      <c r="G13" s="11">
        <v>0.1</v>
      </c>
      <c r="H13" s="19">
        <f t="shared" si="1"/>
        <v>0.1</v>
      </c>
      <c r="I13" s="10" t="s">
        <v>37</v>
      </c>
      <c r="J13" s="9" t="s">
        <v>175</v>
      </c>
    </row>
    <row r="14" spans="1:10" ht="15.75" x14ac:dyDescent="0.25">
      <c r="A14" s="7">
        <f t="shared" si="0"/>
        <v>10</v>
      </c>
      <c r="B14" s="8"/>
      <c r="C14" s="9"/>
      <c r="D14" s="7"/>
      <c r="E14" s="7"/>
      <c r="F14" s="10"/>
      <c r="G14" s="11"/>
      <c r="H14" s="19">
        <f t="shared" si="1"/>
        <v>0</v>
      </c>
      <c r="I14" s="10"/>
      <c r="J14" s="9"/>
    </row>
  </sheetData>
  <sortState xmlns:xlrd2="http://schemas.microsoft.com/office/spreadsheetml/2017/richdata2" ref="A2:J14">
    <sortCondition descending="1" ref="H2:H14"/>
  </sortState>
  <dataValidations count="5">
    <dataValidation type="list" allowBlank="1" showInputMessage="1" showErrorMessage="1" sqref="E2:E14" xr:uid="{00000000-0002-0000-0100-000000000000}">
      <formula1>Risk_group</formula1>
    </dataValidation>
    <dataValidation type="list" allowBlank="1" showInputMessage="1" showErrorMessage="1" sqref="F2:F14" xr:uid="{00000000-0002-0000-0100-000001000000}">
      <formula1>Mức_độ_rủi_ro</formula1>
    </dataValidation>
    <dataValidation type="list" allowBlank="1" showInputMessage="1" showErrorMessage="1" sqref="G2:G14" xr:uid="{00000000-0002-0000-0100-000002000000}">
      <formula1>Xác_suất_rủi_ro</formula1>
    </dataValidation>
    <dataValidation type="list" allowBlank="1" showInputMessage="1" showErrorMessage="1" sqref="D2:D14" xr:uid="{00000000-0002-0000-0100-000003000000}">
      <formula1>Risk_type</formula1>
    </dataValidation>
    <dataValidation type="list" allowBlank="1" showInputMessage="1" showErrorMessage="1" sqref="I2:I14" xr:uid="{00000000-0002-0000-0100-000004000000}">
      <formula1>Strategy_Type</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election activeCell="G11" sqref="G11"/>
    </sheetView>
  </sheetViews>
  <sheetFormatPr defaultRowHeight="15" x14ac:dyDescent="0.25"/>
  <cols>
    <col min="1" max="1" width="25.42578125" customWidth="1"/>
    <col min="2" max="2" width="14.28515625" customWidth="1"/>
    <col min="3" max="3" width="15.140625" customWidth="1"/>
    <col min="4" max="4" width="24.28515625" customWidth="1"/>
    <col min="5" max="5" width="16.85546875" customWidth="1"/>
    <col min="6" max="6" width="18.28515625" customWidth="1"/>
    <col min="7" max="7" width="11.42578125" bestFit="1" customWidth="1"/>
  </cols>
  <sheetData>
    <row r="1" spans="1:7" x14ac:dyDescent="0.25">
      <c r="A1" s="12" t="s">
        <v>8</v>
      </c>
      <c r="B1" s="12" t="s">
        <v>6</v>
      </c>
      <c r="C1" s="12" t="s">
        <v>13</v>
      </c>
      <c r="D1" s="12" t="s">
        <v>14</v>
      </c>
      <c r="E1" s="12" t="s">
        <v>30</v>
      </c>
      <c r="F1" s="12" t="s">
        <v>35</v>
      </c>
      <c r="G1" s="12" t="s">
        <v>39</v>
      </c>
    </row>
    <row r="2" spans="1:7" x14ac:dyDescent="0.25">
      <c r="A2" t="s">
        <v>9</v>
      </c>
      <c r="B2">
        <v>1</v>
      </c>
      <c r="C2" s="3">
        <v>0.1</v>
      </c>
      <c r="D2" t="s">
        <v>17</v>
      </c>
      <c r="E2" t="s">
        <v>31</v>
      </c>
      <c r="F2" t="s">
        <v>36</v>
      </c>
      <c r="G2" t="s">
        <v>40</v>
      </c>
    </row>
    <row r="3" spans="1:7" x14ac:dyDescent="0.25">
      <c r="A3" t="s">
        <v>10</v>
      </c>
      <c r="B3">
        <v>2</v>
      </c>
      <c r="C3" s="3">
        <v>0.25</v>
      </c>
      <c r="D3" t="s">
        <v>18</v>
      </c>
      <c r="E3" t="s">
        <v>32</v>
      </c>
      <c r="F3" t="s">
        <v>37</v>
      </c>
      <c r="G3" t="s">
        <v>126</v>
      </c>
    </row>
    <row r="4" spans="1:7" x14ac:dyDescent="0.25">
      <c r="A4" t="s">
        <v>11</v>
      </c>
      <c r="B4">
        <v>3</v>
      </c>
      <c r="C4" s="3">
        <v>0.5</v>
      </c>
      <c r="D4" t="s">
        <v>15</v>
      </c>
      <c r="E4" t="s">
        <v>28</v>
      </c>
      <c r="F4" t="s">
        <v>38</v>
      </c>
      <c r="G4" t="s">
        <v>134</v>
      </c>
    </row>
    <row r="5" spans="1:7" x14ac:dyDescent="0.25">
      <c r="A5" t="s">
        <v>12</v>
      </c>
      <c r="B5">
        <v>4</v>
      </c>
      <c r="C5" s="3">
        <v>0.75</v>
      </c>
      <c r="D5" t="s">
        <v>16</v>
      </c>
      <c r="E5" t="s">
        <v>33</v>
      </c>
      <c r="G5" t="s">
        <v>131</v>
      </c>
    </row>
    <row r="6" spans="1:7" x14ac:dyDescent="0.25">
      <c r="B6">
        <v>5</v>
      </c>
      <c r="C6" s="3">
        <v>1</v>
      </c>
      <c r="D6" t="s">
        <v>19</v>
      </c>
      <c r="E6" t="s">
        <v>29</v>
      </c>
      <c r="G6" t="s">
        <v>136</v>
      </c>
    </row>
    <row r="7" spans="1:7" x14ac:dyDescent="0.25">
      <c r="E7" t="s">
        <v>34</v>
      </c>
      <c r="G7" t="s">
        <v>171</v>
      </c>
    </row>
    <row r="8" spans="1:7" x14ac:dyDescent="0.25">
      <c r="G8" t="s">
        <v>172</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O15"/>
  <sheetViews>
    <sheetView tabSelected="1" topLeftCell="B1" workbookViewId="0">
      <selection activeCell="I18" sqref="I18"/>
    </sheetView>
  </sheetViews>
  <sheetFormatPr defaultRowHeight="15" x14ac:dyDescent="0.25"/>
  <cols>
    <col min="3" max="3" width="20.28515625" customWidth="1"/>
    <col min="4" max="4" width="18.28515625" customWidth="1"/>
    <col min="5" max="5" width="15.5703125" customWidth="1"/>
    <col min="6" max="6" width="21" customWidth="1"/>
    <col min="7" max="7" width="14.85546875" customWidth="1"/>
    <col min="8" max="8" width="26" customWidth="1"/>
  </cols>
  <sheetData>
    <row r="3" spans="3:15" ht="18.75" x14ac:dyDescent="0.3">
      <c r="C3" s="63" t="s">
        <v>101</v>
      </c>
      <c r="D3" s="63"/>
      <c r="E3" s="63"/>
      <c r="F3" s="63"/>
      <c r="G3" s="63"/>
      <c r="H3" s="63"/>
      <c r="L3" s="47"/>
      <c r="M3" s="47"/>
      <c r="N3" s="47"/>
      <c r="O3" s="43"/>
    </row>
    <row r="4" spans="3:15" x14ac:dyDescent="0.25">
      <c r="C4" s="48" t="s">
        <v>139</v>
      </c>
      <c r="D4" s="54" t="s">
        <v>102</v>
      </c>
      <c r="E4" s="55" t="s">
        <v>140</v>
      </c>
      <c r="F4" s="55" t="s">
        <v>141</v>
      </c>
      <c r="G4" s="54" t="s">
        <v>142</v>
      </c>
      <c r="H4" s="55"/>
      <c r="L4" s="44"/>
      <c r="M4" s="45"/>
      <c r="N4" s="43"/>
      <c r="O4" s="43"/>
    </row>
    <row r="5" spans="3:15" x14ac:dyDescent="0.25">
      <c r="C5" s="53" t="s">
        <v>103</v>
      </c>
      <c r="D5" s="58"/>
      <c r="E5" s="59"/>
      <c r="F5" s="59"/>
      <c r="G5" s="59"/>
      <c r="H5" s="60"/>
      <c r="L5" s="43"/>
      <c r="M5" s="46"/>
      <c r="N5" s="43"/>
      <c r="O5" s="43"/>
    </row>
    <row r="6" spans="3:15" x14ac:dyDescent="0.25">
      <c r="C6" s="49" t="s">
        <v>143</v>
      </c>
      <c r="D6" s="56">
        <v>7.5</v>
      </c>
      <c r="E6" s="56">
        <v>7</v>
      </c>
      <c r="F6" s="57">
        <v>7</v>
      </c>
      <c r="G6" s="57">
        <v>6</v>
      </c>
      <c r="H6" s="57"/>
      <c r="L6" s="43"/>
      <c r="M6" s="43"/>
      <c r="N6" s="43"/>
      <c r="O6" s="43"/>
    </row>
    <row r="7" spans="3:15" x14ac:dyDescent="0.25">
      <c r="C7" s="49" t="s">
        <v>144</v>
      </c>
      <c r="D7" s="50">
        <v>7.5</v>
      </c>
      <c r="E7" s="50">
        <v>7</v>
      </c>
      <c r="F7" s="52">
        <v>3</v>
      </c>
      <c r="G7" s="52">
        <v>3</v>
      </c>
      <c r="H7" s="52"/>
      <c r="L7" s="43"/>
      <c r="M7" s="43"/>
      <c r="N7" s="43"/>
      <c r="O7" s="43"/>
    </row>
    <row r="8" spans="3:15" x14ac:dyDescent="0.25">
      <c r="C8" s="51" t="s">
        <v>104</v>
      </c>
      <c r="D8" s="64"/>
      <c r="E8" s="65"/>
      <c r="F8" s="65"/>
      <c r="G8" s="65"/>
      <c r="H8" s="66"/>
      <c r="L8" s="43"/>
      <c r="M8" s="46"/>
      <c r="N8" s="43"/>
      <c r="O8" s="43"/>
    </row>
    <row r="9" spans="3:15" x14ac:dyDescent="0.25">
      <c r="C9" s="49" t="s">
        <v>105</v>
      </c>
      <c r="D9" s="50">
        <v>7</v>
      </c>
      <c r="E9" s="50">
        <v>7</v>
      </c>
      <c r="F9" s="52">
        <v>5</v>
      </c>
      <c r="G9" s="52">
        <v>4</v>
      </c>
      <c r="H9" s="52"/>
      <c r="L9" s="43"/>
      <c r="M9" s="43"/>
      <c r="N9" s="43"/>
      <c r="O9" s="43"/>
    </row>
    <row r="10" spans="3:15" x14ac:dyDescent="0.25">
      <c r="C10" s="49" t="s">
        <v>106</v>
      </c>
      <c r="D10" s="50">
        <v>7.5</v>
      </c>
      <c r="E10" s="50">
        <v>7</v>
      </c>
      <c r="F10" s="52">
        <v>5</v>
      </c>
      <c r="G10" s="52">
        <v>4</v>
      </c>
      <c r="H10" s="52"/>
      <c r="L10" s="43"/>
      <c r="M10" s="43"/>
      <c r="N10" s="43"/>
      <c r="O10" s="43"/>
    </row>
    <row r="11" spans="3:15" x14ac:dyDescent="0.25">
      <c r="C11" s="51" t="s">
        <v>106</v>
      </c>
      <c r="D11" s="64"/>
      <c r="E11" s="65"/>
      <c r="F11" s="65"/>
      <c r="G11" s="65"/>
      <c r="H11" s="66"/>
      <c r="L11" s="43"/>
      <c r="M11" s="46"/>
      <c r="N11" s="43"/>
      <c r="O11" s="43"/>
    </row>
    <row r="12" spans="3:15" x14ac:dyDescent="0.25">
      <c r="C12" s="49" t="s">
        <v>107</v>
      </c>
      <c r="D12" s="50">
        <v>7.5</v>
      </c>
      <c r="E12" s="50">
        <v>7</v>
      </c>
      <c r="F12" s="52">
        <v>3</v>
      </c>
      <c r="G12" s="52">
        <v>3</v>
      </c>
      <c r="H12" s="52"/>
      <c r="L12" s="43"/>
      <c r="M12" s="43"/>
      <c r="N12" s="43"/>
      <c r="O12" s="43"/>
    </row>
    <row r="13" spans="3:15" x14ac:dyDescent="0.25">
      <c r="C13" s="51" t="s">
        <v>108</v>
      </c>
      <c r="D13" s="64"/>
      <c r="E13" s="65"/>
      <c r="F13" s="65"/>
      <c r="G13" s="65"/>
      <c r="H13" s="66"/>
      <c r="L13" s="43"/>
      <c r="M13" s="46"/>
      <c r="N13" s="43"/>
      <c r="O13" s="43"/>
    </row>
    <row r="14" spans="3:15" x14ac:dyDescent="0.25">
      <c r="C14" s="49" t="s">
        <v>109</v>
      </c>
      <c r="D14" s="50">
        <v>7.5</v>
      </c>
      <c r="E14" s="50">
        <v>7</v>
      </c>
      <c r="F14" s="52">
        <v>3</v>
      </c>
      <c r="G14" s="52">
        <v>3</v>
      </c>
      <c r="H14" s="52"/>
      <c r="L14" s="43"/>
      <c r="M14" s="43"/>
      <c r="N14" s="43"/>
      <c r="O14" s="43"/>
    </row>
    <row r="15" spans="3:15" x14ac:dyDescent="0.25">
      <c r="C15" s="49" t="s">
        <v>110</v>
      </c>
      <c r="D15" s="50">
        <v>5</v>
      </c>
      <c r="E15" s="50">
        <v>5</v>
      </c>
      <c r="F15" s="52">
        <v>1</v>
      </c>
      <c r="G15" s="52">
        <v>1</v>
      </c>
      <c r="H15" s="52"/>
      <c r="M15" s="28"/>
    </row>
  </sheetData>
  <mergeCells count="4">
    <mergeCell ref="C3:H3"/>
    <mergeCell ref="D8:H8"/>
    <mergeCell ref="D11:H11"/>
    <mergeCell ref="D13:H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5"/>
  <sheetViews>
    <sheetView topLeftCell="A7" workbookViewId="0">
      <selection activeCell="I11" sqref="I11"/>
    </sheetView>
  </sheetViews>
  <sheetFormatPr defaultRowHeight="15" x14ac:dyDescent="0.25"/>
  <cols>
    <col min="2" max="2" width="22.42578125" customWidth="1"/>
  </cols>
  <sheetData>
    <row r="1" spans="2:8" x14ac:dyDescent="0.25">
      <c r="B1" s="68" t="s">
        <v>111</v>
      </c>
      <c r="C1" s="68"/>
      <c r="D1" s="68"/>
      <c r="E1" s="68"/>
      <c r="F1" s="68"/>
      <c r="G1" s="68"/>
      <c r="H1" s="68"/>
    </row>
    <row r="4" spans="2:8" x14ac:dyDescent="0.25">
      <c r="B4" s="29" t="s">
        <v>112</v>
      </c>
      <c r="C4" s="69" t="s">
        <v>118</v>
      </c>
      <c r="D4" s="69"/>
      <c r="E4" s="69"/>
    </row>
    <row r="5" spans="2:8" x14ac:dyDescent="0.25">
      <c r="B5" s="1" t="s">
        <v>113</v>
      </c>
      <c r="C5" s="67" t="s">
        <v>116</v>
      </c>
      <c r="D5" s="67"/>
      <c r="E5" s="67"/>
    </row>
    <row r="6" spans="2:8" x14ac:dyDescent="0.25">
      <c r="B6" s="1" t="s">
        <v>114</v>
      </c>
      <c r="C6" s="67"/>
      <c r="D6" s="67"/>
      <c r="E6" s="67"/>
    </row>
    <row r="7" spans="2:8" x14ac:dyDescent="0.25">
      <c r="B7" s="1" t="s">
        <v>15</v>
      </c>
      <c r="C7" s="69" t="s">
        <v>117</v>
      </c>
      <c r="D7" s="69"/>
      <c r="E7" s="69"/>
    </row>
    <row r="8" spans="2:8" x14ac:dyDescent="0.25">
      <c r="B8" s="1" t="s">
        <v>115</v>
      </c>
      <c r="C8" s="69" t="s">
        <v>116</v>
      </c>
      <c r="D8" s="69"/>
      <c r="E8" s="69"/>
    </row>
    <row r="9" spans="2:8" x14ac:dyDescent="0.25">
      <c r="B9" s="30" t="s">
        <v>119</v>
      </c>
      <c r="C9" s="1"/>
      <c r="D9" s="1"/>
      <c r="E9" s="1"/>
    </row>
    <row r="10" spans="2:8" x14ac:dyDescent="0.25">
      <c r="B10" s="1"/>
      <c r="C10" s="1"/>
      <c r="D10" s="1"/>
      <c r="E10" s="1"/>
    </row>
    <row r="11" spans="2:8" x14ac:dyDescent="0.25">
      <c r="B11" s="1" t="s">
        <v>120</v>
      </c>
      <c r="C11" s="1"/>
      <c r="D11" s="1"/>
      <c r="E11" s="1"/>
    </row>
    <row r="12" spans="2:8" x14ac:dyDescent="0.25">
      <c r="B12" s="1"/>
      <c r="C12" s="1"/>
      <c r="D12" s="1"/>
      <c r="E12" s="1"/>
    </row>
    <row r="13" spans="2:8" x14ac:dyDescent="0.25">
      <c r="B13" s="30" t="s">
        <v>121</v>
      </c>
      <c r="C13" s="1"/>
      <c r="D13" s="1"/>
      <c r="E13" s="1"/>
    </row>
    <row r="14" spans="2:8" x14ac:dyDescent="0.25">
      <c r="B14" s="1" t="s">
        <v>122</v>
      </c>
      <c r="C14" s="67" t="s">
        <v>116</v>
      </c>
      <c r="D14" s="67"/>
      <c r="E14" s="67"/>
    </row>
    <row r="15" spans="2:8" x14ac:dyDescent="0.25">
      <c r="B15" s="1" t="s">
        <v>123</v>
      </c>
      <c r="C15" s="67"/>
      <c r="D15" s="67"/>
      <c r="E15" s="67"/>
    </row>
  </sheetData>
  <mergeCells count="6">
    <mergeCell ref="C14:E15"/>
    <mergeCell ref="B1:H1"/>
    <mergeCell ref="C5:E6"/>
    <mergeCell ref="C8:E8"/>
    <mergeCell ref="C7:E7"/>
    <mergeCell ref="C4:E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BF593B6B9D8D409928A49D2E8BC77A" ma:contentTypeVersion="7" ma:contentTypeDescription="Create a new document." ma:contentTypeScope="" ma:versionID="152f0301ae63e422ee5ddadeadb62918">
  <xsd:schema xmlns:xsd="http://www.w3.org/2001/XMLSchema" xmlns:xs="http://www.w3.org/2001/XMLSchema" xmlns:p="http://schemas.microsoft.com/office/2006/metadata/properties" xmlns:ns2="01ab4044-55ac-417a-a05c-524e91f95e54" targetNamespace="http://schemas.microsoft.com/office/2006/metadata/properties" ma:root="true" ma:fieldsID="a8304427d3a329948f5dfd83b5c82c1e" ns2:_="">
    <xsd:import namespace="01ab4044-55ac-417a-a05c-524e91f95e54"/>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ab4044-55ac-417a-a05c-524e91f95e54"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ferenceId xmlns="01ab4044-55ac-417a-a05c-524e91f95e5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66AEA0-0FA6-495C-AAA8-40CE6505B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ab4044-55ac-417a-a05c-524e91f95e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742C67-0728-4B28-B9E4-D03E575A857E}">
  <ds:schemaRefs>
    <ds:schemaRef ds:uri="http://schemas.microsoft.com/office/2006/metadata/properties"/>
    <ds:schemaRef ds:uri="http://schemas.microsoft.com/office/infopath/2007/PartnerControls"/>
    <ds:schemaRef ds:uri="01ab4044-55ac-417a-a05c-524e91f95e54"/>
  </ds:schemaRefs>
</ds:datastoreItem>
</file>

<file path=customXml/itemProps3.xml><?xml version="1.0" encoding="utf-8"?>
<ds:datastoreItem xmlns:ds="http://schemas.openxmlformats.org/officeDocument/2006/customXml" ds:itemID="{6FA7504C-E796-438C-954D-928676B5E4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WBS</vt:lpstr>
      <vt:lpstr>Risk Mgmt</vt:lpstr>
      <vt:lpstr>Ref</vt:lpstr>
      <vt:lpstr>Skill Matrix</vt:lpstr>
      <vt:lpstr>Sprint </vt:lpstr>
      <vt:lpstr>Member</vt:lpstr>
      <vt:lpstr>Mức_độ_rủi_ro</vt:lpstr>
      <vt:lpstr>Risk_group</vt:lpstr>
      <vt:lpstr>Risk_type</vt:lpstr>
      <vt:lpstr>Strategy_Type</vt:lpstr>
      <vt:lpstr>Task_Group</vt:lpstr>
      <vt:lpstr>Xác_suất_rủi_ro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tu.bui</dc:creator>
  <cp:lastModifiedBy>User</cp:lastModifiedBy>
  <dcterms:created xsi:type="dcterms:W3CDTF">2017-03-02T04:05:57Z</dcterms:created>
  <dcterms:modified xsi:type="dcterms:W3CDTF">2021-04-15T11:47:19Z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0x01010012BF593B6B9D8D409928A49D2E8BC77A</vt:lpwstr>
  </property>
</Properties>
</file>